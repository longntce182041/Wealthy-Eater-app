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9.xml" ContentType="application/vnd.openxmlformats-officedocument.spreadsheetml.comment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27560" windowHeight="14420"/>
  </bookViews>
  <sheets>
    <sheet sheetId="9" name="Cover" state="visible" r:id="rId4"/>
    <sheet sheetId="2" name="Test Cases" state="visible" r:id="rId5"/>
    <sheet sheetId="5" name="Test Statistics" state="visible" r:id="rId6"/>
    <sheet sheetId="3" name="Backend API" state="visible" r:id="rId7"/>
    <sheet sheetId="8" name="Mobile UI" state="visible" r:id="rId8"/>
  </sheets>
  <definedNames>
    <definedName name="_xlnm._FilterDatabase">'Feature 2'!$A$10:$O$17</definedName>
  </definedName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E10" authorId="0">
      <text>
        <r>
          <rPr>
            <color rgb="FF000000"/>
            <family val="2"/>
            <sz val="8"/>
            <rFont val="Tahoma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E10" authorId="0">
      <text>
        <r>
          <rPr>
            <color rgb="FF000000"/>
            <family val="2"/>
            <sz val="8"/>
            <rFont val="Tahoma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D10" authorId="0">
      <text>
        <r>
          <rPr>
            <b/>
            <color indexed="81"/>
            <family val="2"/>
            <sz val="8"/>
            <rFont val="Tahoma"/>
          </rPr>
          <t>*A</t>
        </r>
        <r>
          <rPr>
            <color indexed="81"/>
            <family val="2"/>
            <sz val="8"/>
            <rFont val="Tahoma"/>
          </rPr>
          <t xml:space="preserve">: Add
  </t>
        </r>
        <r>
          <rPr>
            <b/>
            <color indexed="81"/>
            <family val="2"/>
            <sz val="8"/>
            <rFont val="Tahoma"/>
          </rPr>
          <t>M</t>
        </r>
        <r>
          <rPr>
            <color indexed="81"/>
            <family val="2"/>
            <sz val="8"/>
            <rFont val="Tahoma"/>
          </rPr>
          <t xml:space="preserve">: Modify
  </t>
        </r>
        <r>
          <rPr>
            <b/>
            <color indexed="81"/>
            <family val="2"/>
            <sz val="8"/>
            <rFont val="Tahoma"/>
          </rPr>
          <t>D</t>
        </r>
        <r>
          <rPr>
            <color indexed="81"/>
            <family val="2"/>
            <sz val="8"/>
            <rFont val="Tahoma"/>
          </rPr>
          <t xml:space="preserve">: Delete
</t>
        </r>
      </text>
    </comment>
  </commentList>
</comments>
</file>

<file path=xl/sharedStrings.xml><?xml version="1.0" encoding="utf-8"?>
<sst xmlns="http://schemas.openxmlformats.org/spreadsheetml/2006/main" count="501" uniqueCount="280">
  <si>
    <t>TEST REPORT DOCUMENT</t>
  </si>
  <si>
    <t>Project Name</t>
  </si>
  <si>
    <t>&lt;Project Name&gt;</t>
  </si>
  <si>
    <t>Creator</t>
  </si>
  <si>
    <t>Project Code</t>
  </si>
  <si>
    <t>&lt;Project Code&gt;</t>
  </si>
  <si>
    <t>Issue Date</t>
  </si>
  <si>
    <t>&lt;Date when this test report is created&gt;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</si>
  <si>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</si>
  <si>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</si>
  <si>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</si>
  <si>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</si>
  <si>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</si>
  <si>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</si>
  <si>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</si>
  <si>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</si>
  <si>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</si>
  <si>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</si>
  <si>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TEST CASE LIST</t>
  </si>
  <si>
    <t>Wealthy Eater</t>
  </si>
  <si>
    <t>SEP490</t>
  </si>
  <si>
    <t>Server: Node.js/Express, DB: MongoDB Atlas, Client: Flutter iOS/Android Emulator</t>
  </si>
  <si>
    <t xml:space="preserve"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</si>
  <si>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</si>
  <si>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</si>
  <si>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</si>
  <si>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</si>
  <si>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</si>
  <si>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[Backend] Auth</t>
  </si>
  <si>
    <t>Backend API</t>
  </si>
  <si>
    <t>[Backend] Profile</t>
  </si>
  <si>
    <t>[Backend] Recipes</t>
  </si>
  <si>
    <t>[Backend] Meal Plans</t>
  </si>
  <si>
    <t>[Backend] Consultations (Customer)</t>
  </si>
  <si>
    <t>[Backend] Nutritionists Workspace</t>
  </si>
  <si>
    <t>[Backend] Shopping List &amp; Pantry</t>
  </si>
  <si>
    <t>[Backend] Websocket &amp; Chat</t>
  </si>
  <si>
    <t>[Backend] Notifications &amp; Webhooks</t>
  </si>
  <si>
    <t>[Mobile] Authentication</t>
  </si>
  <si>
    <t>Mobile UI</t>
  </si>
  <si>
    <t>[Mobile] Nutritionist Portal</t>
  </si>
  <si>
    <t>[Mobile] Customer Dashboard</t>
  </si>
  <si>
    <t>[Mobile] Recipes &amp; Shopping</t>
  </si>
  <si>
    <t>[Mobile] Biometrics &amp; Pantry</t>
  </si>
  <si>
    <t>TEST STATISTICS</t>
  </si>
  <si>
    <t>Reviewer/Approver</t>
  </si>
  <si>
    <t>Notes</t>
  </si>
  <si>
    <t>&lt;List modules included in this release&gt; ex: Release 1 includes 2 modules: Module1 and Module2</t>
  </si>
  <si>
    <t>Module code</t>
  </si>
  <si>
    <t>Passed</t>
  </si>
  <si>
    <t>Failed</t>
  </si>
  <si>
    <t>Pending</t>
  </si>
  <si>
    <t>N/A</t>
  </si>
  <si>
    <t>Number of  test cases</t>
  </si>
  <si>
    <t>Sub total</t>
  </si>
  <si>
    <t>Test coverage</t>
  </si>
  <si>
    <t>%</t>
  </si>
  <si>
    <t>Test successful coverage</t>
  </si>
  <si>
    <t>Feature</t>
  </si>
  <si>
    <t>Backend API System Test</t>
  </si>
  <si>
    <t>Test requirement</t>
  </si>
  <si>
    <t>&lt;Brief description about requirements which are tested in this sheet&gt;</t>
  </si>
  <si>
    <t>Number of TCs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</si>
  <si>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</si>
  <si>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</si>
  <si>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</si>
  <si>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</si>
  <si>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</si>
  <si>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</si>
  <si>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</si>
  <si>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</si>
  <si>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</si>
  <si>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</si>
  <si>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</si>
  <si>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</si>
  <si>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Auth</t>
  </si>
  <si>
    <t>TC-001</t>
  </si>
  <si>
    <t>POST /api/auth/login</t>
  </si>
  <si>
    <t>POST</t>
  </si>
  <si>
    <t>Total reqs: 27000, Avg: 110.31ms</t>
  </si>
  <si>
    <t>DB Running</t>
  </si>
  <si>
    <t>TC-002</t>
  </si>
  <si>
    <t>POST /api/auth/register</t>
  </si>
  <si>
    <t>Total reqs: 27000, Avg: 100.11ms</t>
  </si>
  <si>
    <t>TC-003</t>
  </si>
  <si>
    <t>POST /api/auth/verify-otp</t>
  </si>
  <si>
    <t>Total reqs: 27000, Avg: 98.60ms</t>
  </si>
  <si>
    <t>TC-004</t>
  </si>
  <si>
    <t>POST /api/auth/resend-otp</t>
  </si>
  <si>
    <t>Total reqs: 27000, Avg: 92.83ms</t>
  </si>
  <si>
    <t>TC-005</t>
  </si>
  <si>
    <t>POST /api/auth/refresh</t>
  </si>
  <si>
    <t>Total reqs: 27000, Avg: 93.02ms</t>
  </si>
  <si>
    <t>TC-006</t>
  </si>
  <si>
    <t>GET /api/auth/me</t>
  </si>
  <si>
    <t>GET</t>
  </si>
  <si>
    <t>Total reqs: 27000, Avg: 89.79ms</t>
  </si>
  <si>
    <t>TC-007</t>
  </si>
  <si>
    <t>POST /api/auth/google (OAuth)</t>
  </si>
  <si>
    <t>Total reqs: 27000, Avg: 104.75ms</t>
  </si>
  <si>
    <t>TC-008</t>
  </si>
  <si>
    <t>POST /api/auth/forget-password</t>
  </si>
  <si>
    <t>Total reqs: 27000, Avg: 91.52ms</t>
  </si>
  <si>
    <t>TC-009</t>
  </si>
  <si>
    <t>POST /api/auth/reset-password</t>
  </si>
  <si>
    <t>Total reqs: 27000, Avg: 92.01ms</t>
  </si>
  <si>
    <t>Profile</t>
  </si>
  <si>
    <t>TC-010</t>
  </si>
  <si>
    <t>GET /api/profile</t>
  </si>
  <si>
    <t>Total reqs: 27000, Avg: 90.41ms</t>
  </si>
  <si>
    <t>TC-011</t>
  </si>
  <si>
    <t>PUT /api/profile (biometrics)</t>
  </si>
  <si>
    <t>PUT</t>
  </si>
  <si>
    <t>Total reqs: 27000, Avg: 93.34ms</t>
  </si>
  <si>
    <t>Recipes</t>
  </si>
  <si>
    <t>TC-012</t>
  </si>
  <si>
    <t>GET /api/user/recipes</t>
  </si>
  <si>
    <t>Total reqs: 27000, Avg: 90.48ms</t>
  </si>
  <si>
    <t>TC-013</t>
  </si>
  <si>
    <t>GET /api/user/recipes/:id</t>
  </si>
  <si>
    <t>Total reqs: 27000, Avg: 179.88ms</t>
  </si>
  <si>
    <t>TC-014</t>
  </si>
  <si>
    <t>POST /api/user/recipes/:id/like</t>
  </si>
  <si>
    <t>Total reqs: 27000, Avg: 116.11ms</t>
  </si>
  <si>
    <t>TC-015</t>
  </si>
  <si>
    <t>GET /api/user/recipes/liked</t>
  </si>
  <si>
    <t>Total reqs: 27000, Avg: 89.81ms</t>
  </si>
  <si>
    <t>TC-016</t>
  </si>
  <si>
    <t>GET /api/user/recipes/liked/count</t>
  </si>
  <si>
    <t>Total reqs: 27000, Avg: 131.24ms</t>
  </si>
  <si>
    <t>TC-017</t>
  </si>
  <si>
    <t>POST /api/user/recipes/:id/reviews</t>
  </si>
  <si>
    <t>Total reqs: 27000, Avg: 94.94ms</t>
  </si>
  <si>
    <t>TC-018</t>
  </si>
  <si>
    <t>GET /api/user/recipes/:id/reviews</t>
  </si>
  <si>
    <t>Total reqs: 27000, Avg: 91.44ms</t>
  </si>
  <si>
    <t>TC-019</t>
  </si>
  <si>
    <t>GET /api/user/recipes/:id/reviews/mine</t>
  </si>
  <si>
    <t>Total reqs: 27000, Avg: 90.59ms</t>
  </si>
  <si>
    <t>Meal Plans</t>
  </si>
  <si>
    <t>TC-020</t>
  </si>
  <si>
    <t>GET /api/meal-plans/my-plan</t>
  </si>
  <si>
    <t>Total reqs: 27000, Avg: 92.00ms</t>
  </si>
  <si>
    <t>TC-021</t>
  </si>
  <si>
    <t>GET /api/meal-plans/daily-report</t>
  </si>
  <si>
    <t>Total reqs: 27000, Avg: 91.86ms</t>
  </si>
  <si>
    <t>TC-022</t>
  </si>
  <si>
    <t>GET /api/meal-plans/logs</t>
  </si>
  <si>
    <t>Total reqs: 27000, Avg: 91.58ms</t>
  </si>
  <si>
    <t>TC-023</t>
  </si>
  <si>
    <t>POST /api/meal-plans/items/:id/log</t>
  </si>
  <si>
    <t>Total reqs: 27000, Avg: 94.03ms</t>
  </si>
  <si>
    <t>TC-024</t>
  </si>
  <si>
    <t>PUT /api/meal-plans/logs/:id</t>
  </si>
  <si>
    <t>Total reqs: 27000, Avg: 95.19ms</t>
  </si>
  <si>
    <t>TC-025</t>
  </si>
  <si>
    <t>POST /api/meal-plans/scan-meal</t>
  </si>
  <si>
    <t>Total reqs: 27000, Avg: 93.97ms</t>
  </si>
  <si>
    <t>TC-026</t>
  </si>
  <si>
    <t>POST /api/meal-plans/generate</t>
  </si>
  <si>
    <t>Total reqs: 27000, Avg: 210.90ms</t>
  </si>
  <si>
    <t>Consultations (Customer)</t>
  </si>
  <si>
    <t>TC-027</t>
  </si>
  <si>
    <t>POST /api/user/consultations/hire</t>
  </si>
  <si>
    <t>Total reqs: 27000, Avg: 111.35ms</t>
  </si>
  <si>
    <t>TC-028</t>
  </si>
  <si>
    <t>GET /api/user/consultations/active</t>
  </si>
  <si>
    <t>Total reqs: 27000, Avg: 109.67ms</t>
  </si>
  <si>
    <t>TC-029</t>
  </si>
  <si>
    <t>GET /api/user/consultations/payos/urls</t>
  </si>
  <si>
    <t>Total reqs: 27000, Avg: 126.20ms</t>
  </si>
  <si>
    <t>TC-030</t>
  </si>
  <si>
    <t>POST /api/user/consultations/verify-payment</t>
  </si>
  <si>
    <t>Total reqs: 27000, Avg: 95.55ms</t>
  </si>
  <si>
    <t>TC-031</t>
  </si>
  <si>
    <t>POST /api/user/consultations/request-mealplan</t>
  </si>
  <si>
    <t>Total reqs: 27000, Avg: 133.69ms</t>
  </si>
  <si>
    <t>TC-032</t>
  </si>
  <si>
    <t>GET /api/user/consultations/request-mealplan/status</t>
  </si>
  <si>
    <t>Total reqs: 27000, Avg: 91.98ms</t>
  </si>
  <si>
    <t>Nutritionists Workspace</t>
  </si>
  <si>
    <t>TC-033</t>
  </si>
  <si>
    <t>GET /api/nutritionists</t>
  </si>
  <si>
    <t>Total reqs: 27000, Avg: 90.88ms</t>
  </si>
  <si>
    <t>TC-034</t>
  </si>
  <si>
    <t>GET /api/nutritionists/profile/me</t>
  </si>
  <si>
    <t>Total reqs: 27000, Avg: 88.50ms</t>
  </si>
  <si>
    <t>TC-035</t>
  </si>
  <si>
    <t>GET /api/nutritionists/meal-plan-requests</t>
  </si>
  <si>
    <t>Total reqs: 27000, Avg: 92.07ms</t>
  </si>
  <si>
    <t>TC-036</t>
  </si>
  <si>
    <t>POST /api/nutritionists/meal-plan-requests/:id/respond</t>
  </si>
  <si>
    <t>Total reqs: 27000, Avg: 93.98ms</t>
  </si>
  <si>
    <t>TC-037</t>
  </si>
  <si>
    <t>GET /api/nutritionists/audit-biometrics/:id</t>
  </si>
  <si>
    <t>Total reqs: 27000, Avg: 94.10ms</t>
  </si>
  <si>
    <t>Shopping List &amp; Pantry</t>
  </si>
  <si>
    <t>TC-038</t>
  </si>
  <si>
    <t>GET /api/user/shopping-list</t>
  </si>
  <si>
    <t>Total reqs: 27000, Avg: 87.95ms</t>
  </si>
  <si>
    <t>TC-039</t>
  </si>
  <si>
    <t>POST /api/user/shopping-list</t>
  </si>
  <si>
    <t>Total reqs: 27000, Avg: 201.84ms</t>
  </si>
  <si>
    <t>TC-040</t>
  </si>
  <si>
    <t>GET /api/pantry</t>
  </si>
  <si>
    <t>Total reqs: 27000, Avg: 130.23ms</t>
  </si>
  <si>
    <t>TC-041</t>
  </si>
  <si>
    <t>POST /api/pantry</t>
  </si>
  <si>
    <t>Total reqs: 27000, Avg: 112.30ms</t>
  </si>
  <si>
    <t>Websocket &amp; Chat</t>
  </si>
  <si>
    <t>TC-042</t>
  </si>
  <si>
    <t>Socket.IO connect</t>
  </si>
  <si>
    <t>Total reqs: 27000, Avg: 79.03ms</t>
  </si>
  <si>
    <t>TC-043</t>
  </si>
  <si>
    <t>Socket.IO send msg</t>
  </si>
  <si>
    <t>Total reqs: 27000, Avg: 65.51ms</t>
  </si>
  <si>
    <t>Notifications &amp; Webhooks</t>
  </si>
  <si>
    <t>TC-044</t>
  </si>
  <si>
    <t>GET /api/user/notifications</t>
  </si>
  <si>
    <t>Total reqs: 27000, Avg: 133.11ms</t>
  </si>
  <si>
    <t>TC-045</t>
  </si>
  <si>
    <t>POST /api/webhooks/payos</t>
  </si>
  <si>
    <t>Total reqs: 27000, Avg: 93.93ms</t>
  </si>
  <si>
    <t>Mobile E2E UI Test</t>
  </si>
  <si>
    <t>Authentication</t>
  </si>
  <si>
    <t>TC-UI-001</t>
  </si>
  <si>
    <t>Customer Login Invalid</t>
  </si>
  <si>
    <t>Enter wrong email/pass, tap Login</t>
  </si>
  <si>
    <t>Shows error</t>
  </si>
  <si>
    <t>App launched</t>
  </si>
  <si>
    <t>TC-UI-002</t>
  </si>
  <si>
    <t>Nav to Register</t>
  </si>
  <si>
    <t>Tap Register button</t>
  </si>
  <si>
    <t>Renders Register</t>
  </si>
  <si>
    <t>TC-UI-003</t>
  </si>
  <si>
    <t>Nav to Forgot Password</t>
  </si>
  <si>
    <t>Tap Forgot Pass link</t>
  </si>
  <si>
    <t>Renders Forgot Pass</t>
  </si>
  <si>
    <t>Nutritionist Portal</t>
  </si>
  <si>
    <t>TC-UI-004</t>
  </si>
  <si>
    <t>Nutritionist Dashboard</t>
  </si>
  <si>
    <t>Login as Nutritionist</t>
  </si>
  <si>
    <t>Renders Dashboard</t>
  </si>
  <si>
    <t>Valid nutritionist</t>
  </si>
  <si>
    <t>Customer Dashboard</t>
  </si>
  <si>
    <t>TC-UI-005</t>
  </si>
  <si>
    <t>Dashboard Nav</t>
  </si>
  <si>
    <t>Login as Customer, tap tabs</t>
  </si>
  <si>
    <t>Tabs switch without crash</t>
  </si>
  <si>
    <t>Valid customer</t>
  </si>
  <si>
    <t>TC-UI-010</t>
  </si>
  <si>
    <t>View Meal Plans</t>
  </si>
  <si>
    <t>Tap Plans tab</t>
  </si>
  <si>
    <t>Renders Meal Plans</t>
  </si>
  <si>
    <t>TC-UI-011</t>
  </si>
  <si>
    <t>Nutritionists List</t>
  </si>
  <si>
    <t>Tap Nutritionists tab</t>
  </si>
  <si>
    <t>Renders List</t>
  </si>
  <si>
    <t>TC-UI-012</t>
  </si>
  <si>
    <t>Notifications &amp; Bot</t>
  </si>
  <si>
    <t>Tap Bell and Bot icons</t>
  </si>
  <si>
    <t>Renders overlays</t>
  </si>
  <si>
    <t>Recipes &amp; Shopping</t>
  </si>
  <si>
    <t>TC-UI-006</t>
  </si>
  <si>
    <t>Browse Recipes</t>
  </si>
  <si>
    <t>Navigate to Recipe sub-tabs</t>
  </si>
  <si>
    <t>Renders correctly</t>
  </si>
  <si>
    <t>TC-UI-009</t>
  </si>
  <si>
    <t>View Shopping List</t>
  </si>
  <si>
    <t>Recipe &gt; Shopping tab</t>
  </si>
  <si>
    <t>Renders Shopping List</t>
  </si>
  <si>
    <t>Biometrics &amp; Pantry</t>
  </si>
  <si>
    <t>TC-UI-007</t>
  </si>
  <si>
    <t>Edit Biometrics</t>
  </si>
  <si>
    <t>Profile &gt; Biometrics</t>
  </si>
  <si>
    <t>Renders form</t>
  </si>
  <si>
    <t>TC-UI-008</t>
  </si>
  <si>
    <t>Manage Pantry</t>
  </si>
  <si>
    <t>Home &gt; Manage Pantry</t>
  </si>
  <si>
    <t>Renders Pantry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</si>
</sst>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-mmm-yy;@"/>
  </numFmts>
  <fonts count="17" x14ac:knownFonts="1">
    <font>
      <color theme="1"/>
      <family val="2"/>
      <scheme val="minor"/>
      <sz val="11"/>
      <name val="Calibri"/>
    </font>
    <font>
      <family val="2"/>
      <sz val="10"/>
      <name val="Tahoma"/>
    </font>
    <font>
      <b/>
      <color indexed="10"/>
      <family val="2"/>
      <sz val="26"/>
      <name val="Tahoma"/>
    </font>
    <font>
      <b/>
      <color indexed="8"/>
      <family val="2"/>
      <sz val="20"/>
      <name val="Tahoma"/>
    </font>
    <font>
      <b/>
      <color indexed="60"/>
      <family val="2"/>
      <sz val="10"/>
      <name val="Tahoma"/>
    </font>
    <font>
      <i/>
      <color indexed="17"/>
      <family val="2"/>
      <sz val="10"/>
      <name val="Tahoma"/>
    </font>
    <font>
      <b/>
      <family val="2"/>
      <sz val="10"/>
      <name val="Tahoma"/>
    </font>
    <font>
      <i/>
      <family val="2"/>
      <sz val="10"/>
      <name val="Tahoma"/>
    </font>
    <font>
      <b/>
      <color indexed="9"/>
      <family val="2"/>
      <sz val="10"/>
      <name val="Tahoma"/>
    </font>
    <font>
      <b/>
      <color indexed="8"/>
      <family val="2"/>
      <sz val="10"/>
      <name val="Tahoma"/>
    </font>
    <font>
      <b/>
      <color indexed="10"/>
      <family val="2"/>
      <sz val="10"/>
      <name val="Tahoma"/>
    </font>
    <font>
      <color indexed="9"/>
      <family val="2"/>
      <sz val="10"/>
      <name val="Tahoma"/>
    </font>
    <font>
      <b/>
      <color indexed="12"/>
      <family val="2"/>
      <sz val="10"/>
      <name val="Tahoma"/>
    </font>
    <font>
      <color indexed="8"/>
      <family val="2"/>
      <sz val="10"/>
      <name val="Tahoma"/>
    </font>
    <font>
      <color indexed="10"/>
      <family val="2"/>
      <sz val="10"/>
      <name val="Tahoma"/>
    </font>
    <font>
      <b/>
      <i/>
      <family val="2"/>
      <sz val="10"/>
      <name val="Tahoma"/>
    </font>
    <font>
      <b/>
      <color rgb="FF000000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theme="6" tint="-0.249977111117893"/>
        <bgColor indexed="32"/>
      </patternFill>
    </fill>
    <fill>
      <patternFill patternType="solid">
        <fgColor rgb="FFCCFFFF"/>
      </patternFill>
    </fill>
  </fills>
  <borders count="3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Alignment="1">
      <alignment horizontal="left" inden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0" xfId="0" applyFont="1" applyFill="1" applyAlignment="1">
      <alignment horizontal="left" indent="1"/>
    </xf>
    <xf numFmtId="0" fontId="5" fillId="0" borderId="0" xfId="0" applyFont="1" applyAlignment="1">
      <alignment horizontal="left" indent="1"/>
    </xf>
    <xf numFmtId="0" fontId="1" fillId="2" borderId="0" xfId="0" applyFont="1" applyFill="1"/>
    <xf numFmtId="0" fontId="6" fillId="2" borderId="2" xfId="0" applyFont="1" applyFill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3" xfId="0" applyFont="1" applyBorder="1"/>
    <xf numFmtId="0" fontId="7" fillId="0" borderId="3" xfId="0" applyFont="1" applyBorder="1"/>
    <xf numFmtId="0" fontId="6" fillId="2" borderId="2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indent="1"/>
    </xf>
    <xf numFmtId="0" fontId="6" fillId="0" borderId="0" xfId="0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0" fontId="6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4" fontId="8" fillId="3" borderId="5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7" fillId="0" borderId="8" xfId="0" applyFont="1" applyBorder="1" applyAlignment="1">
      <alignment vertical="top" wrapText="1"/>
    </xf>
    <xf numFmtId="49" fontId="1" fillId="0" borderId="9" xfId="0" applyNumberFormat="1" applyFont="1" applyBorder="1" applyAlignment="1">
      <alignment vertical="top"/>
    </xf>
    <xf numFmtId="0" fontId="1" fillId="0" borderId="9" xfId="0" applyFont="1" applyBorder="1" applyAlignment="1">
      <alignment vertical="top"/>
    </xf>
    <xf numFmtId="15" fontId="1" fillId="0" borderId="9" xfId="0" applyNumberFormat="1" applyFont="1" applyBorder="1" applyAlignment="1">
      <alignment vertical="top"/>
    </xf>
    <xf numFmtId="0" fontId="7" fillId="0" borderId="10" xfId="0" applyFont="1" applyBorder="1" applyAlignment="1">
      <alignment vertical="top" wrapText="1"/>
    </xf>
    <xf numFmtId="164" fontId="1" fillId="0" borderId="8" xfId="0" applyNumberFormat="1" applyFont="1" applyBorder="1" applyAlignment="1">
      <alignment vertical="top"/>
    </xf>
    <xf numFmtId="0" fontId="1" fillId="0" borderId="10" xfId="0" applyFont="1" applyBorder="1" applyAlignment="1">
      <alignment vertical="top"/>
    </xf>
    <xf numFmtId="164" fontId="1" fillId="0" borderId="11" xfId="0" applyNumberFormat="1" applyFont="1" applyBorder="1" applyAlignment="1">
      <alignment vertical="top"/>
    </xf>
    <xf numFmtId="49" fontId="1" fillId="0" borderId="12" xfId="0" applyNumberFormat="1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" fontId="1" fillId="2" borderId="0" xfId="0" applyNumberFormat="1" applyFont="1" applyFill="1"/>
    <xf numFmtId="0" fontId="1" fillId="2" borderId="0" xfId="0" applyFont="1" applyFill="1" applyAlignment="1">
      <alignment horizontal="left"/>
    </xf>
    <xf numFmtId="1" fontId="1" fillId="2" borderId="0" xfId="0" applyNumberFormat="1" applyFont="1" applyFill="1" applyProtection="1">
      <protection hidden="1"/>
    </xf>
    <xf numFmtId="0" fontId="3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1" fontId="4" fillId="2" borderId="1" xfId="0" applyNumberFormat="1" applyFont="1" applyFill="1" applyBorder="1"/>
    <xf numFmtId="0" fontId="5" fillId="2" borderId="2" xfId="0" applyFont="1" applyFill="1" applyBorder="1" applyAlignment="1">
      <alignment horizontal="left"/>
    </xf>
    <xf numFmtId="0" fontId="1" fillId="2" borderId="0" xfId="0" applyFont="1" applyFill="1" applyAlignment="1">
      <alignment wrapText="1"/>
    </xf>
    <xf numFmtId="1" fontId="4" fillId="2" borderId="2" xfId="0" applyNumberFormat="1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top" wrapText="1"/>
    </xf>
    <xf numFmtId="1" fontId="4" fillId="2" borderId="0" xfId="0" applyNumberFormat="1" applyFont="1" applyFill="1"/>
    <xf numFmtId="0" fontId="1" fillId="2" borderId="0" xfId="0" applyFont="1" applyFill="1" applyAlignment="1">
      <alignment vertical="center"/>
    </xf>
    <xf numFmtId="1" fontId="1" fillId="2" borderId="0" xfId="0" applyNumberFormat="1" applyFont="1" applyFill="1" applyAlignment="1" applyProtection="1">
      <alignment vertical="center"/>
      <protection hidden="1"/>
    </xf>
    <xf numFmtId="0" fontId="1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/>
    </xf>
    <xf numFmtId="1" fontId="8" fillId="4" borderId="5" xfId="0" applyNumberFormat="1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6" fillId="2" borderId="0" xfId="0" applyFont="1" applyFill="1"/>
    <xf numFmtId="164" fontId="1" fillId="2" borderId="0" xfId="0" applyNumberFormat="1" applyFont="1" applyFill="1"/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vertical="top"/>
    </xf>
    <xf numFmtId="0" fontId="4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4" fillId="2" borderId="0" xfId="0" applyFont="1" applyFill="1"/>
    <xf numFmtId="0" fontId="5" fillId="2" borderId="0" xfId="0" applyFont="1" applyFill="1"/>
    <xf numFmtId="0" fontId="1" fillId="2" borderId="15" xfId="0" applyFont="1" applyFill="1" applyBorder="1"/>
    <xf numFmtId="0" fontId="8" fillId="3" borderId="16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 wrapText="1"/>
    </xf>
    <xf numFmtId="0" fontId="8" fillId="3" borderId="14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wrapText="1"/>
    </xf>
    <xf numFmtId="0" fontId="1" fillId="2" borderId="18" xfId="0" applyFont="1" applyFill="1" applyBorder="1" applyAlignment="1">
      <alignment horizontal="center"/>
    </xf>
    <xf numFmtId="0" fontId="1" fillId="2" borderId="9" xfId="0" applyFont="1" applyFill="1" applyBorder="1"/>
    <xf numFmtId="0" fontId="1" fillId="2" borderId="9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1" fillId="3" borderId="21" xfId="0" applyFont="1" applyFill="1" applyBorder="1" applyAlignment="1">
      <alignment horizontal="center"/>
    </xf>
    <xf numFmtId="0" fontId="8" fillId="3" borderId="12" xfId="0" applyFont="1" applyFill="1" applyBorder="1"/>
    <xf numFmtId="0" fontId="11" fillId="3" borderId="12" xfId="0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0" fontId="1" fillId="2" borderId="0" xfId="0" applyNumberFormat="1" applyFont="1" applyFill="1" applyAlignment="1">
      <alignment horizontal="center"/>
    </xf>
    <xf numFmtId="9" fontId="1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left"/>
    </xf>
    <xf numFmtId="2" fontId="12" fillId="2" borderId="0" xfId="0" applyNumberFormat="1" applyFont="1" applyFill="1" applyAlignment="1">
      <alignment horizontal="right" wrapText="1"/>
    </xf>
    <xf numFmtId="0" fontId="13" fillId="2" borderId="0" xfId="0" applyFont="1" applyFill="1" applyAlignment="1">
      <alignment horizontal="center" wrapText="1"/>
    </xf>
    <xf numFmtId="0" fontId="14" fillId="2" borderId="0" xfId="0" applyFont="1" applyFill="1"/>
    <xf numFmtId="0" fontId="13" fillId="2" borderId="0" xfId="0" applyFont="1" applyFill="1"/>
    <xf numFmtId="0" fontId="6" fillId="2" borderId="23" xfId="0" applyFont="1" applyFill="1" applyBorder="1" applyAlignment="1">
      <alignment horizontal="center" vertical="top" wrapText="1"/>
    </xf>
    <xf numFmtId="0" fontId="1" fillId="2" borderId="24" xfId="0" applyFont="1" applyFill="1" applyBorder="1" applyAlignment="1">
      <alignment horizontal="left" vertical="top" wrapText="1"/>
    </xf>
    <xf numFmtId="0" fontId="1" fillId="2" borderId="25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horizontal="left" wrapText="1"/>
    </xf>
    <xf numFmtId="0" fontId="14" fillId="2" borderId="0" xfId="0" applyFont="1" applyFill="1" applyAlignment="1">
      <alignment wrapText="1"/>
    </xf>
    <xf numFmtId="0" fontId="6" fillId="2" borderId="26" xfId="0" applyFont="1" applyFill="1" applyBorder="1" applyAlignment="1">
      <alignment horizontal="center" vertical="top" wrapText="1"/>
    </xf>
    <xf numFmtId="0" fontId="1" fillId="2" borderId="27" xfId="0" applyFont="1" applyFill="1" applyBorder="1" applyAlignment="1">
      <alignment horizontal="left" vertical="top" wrapText="1"/>
    </xf>
    <xf numFmtId="0" fontId="1" fillId="2" borderId="28" xfId="0" applyFont="1" applyFill="1" applyBorder="1" applyAlignment="1">
      <alignment horizontal="left" vertical="top" wrapText="1"/>
    </xf>
    <xf numFmtId="0" fontId="15" fillId="2" borderId="26" xfId="0" applyFont="1" applyFill="1" applyBorder="1" applyAlignment="1">
      <alignment horizontal="center" vertical="top" wrapText="1"/>
    </xf>
    <xf numFmtId="0" fontId="15" fillId="2" borderId="27" xfId="0" applyFont="1" applyFill="1" applyBorder="1" applyAlignment="1">
      <alignment horizontal="center" vertical="top" wrapText="1"/>
    </xf>
    <xf numFmtId="0" fontId="15" fillId="2" borderId="28" xfId="0" applyFont="1" applyFill="1" applyBorder="1" applyAlignment="1">
      <alignment horizontal="center" vertical="top" wrapText="1"/>
    </xf>
    <xf numFmtId="0" fontId="9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1" fillId="2" borderId="27" xfId="0" applyFont="1" applyFill="1" applyBorder="1" applyAlignment="1">
      <alignment horizontal="center" vertical="top" wrapText="1"/>
    </xf>
    <xf numFmtId="0" fontId="1" fillId="2" borderId="28" xfId="0" applyFont="1" applyFill="1" applyBorder="1" applyAlignment="1">
      <alignment horizontal="center" vertical="top" wrapText="1"/>
    </xf>
    <xf numFmtId="0" fontId="13" fillId="2" borderId="0" xfId="0" applyFont="1" applyFill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top" wrapText="1"/>
    </xf>
    <xf numFmtId="0" fontId="1" fillId="2" borderId="30" xfId="0" applyFont="1" applyFill="1" applyBorder="1" applyAlignment="1">
      <alignment horizontal="center" vertical="top" wrapText="1"/>
    </xf>
    <xf numFmtId="0" fontId="1" fillId="2" borderId="31" xfId="0" applyFont="1" applyFill="1" applyBorder="1" applyAlignment="1">
      <alignment horizontal="center" vertical="top" wrapText="1"/>
    </xf>
    <xf numFmtId="0" fontId="8" fillId="5" borderId="27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6" fillId="6" borderId="0" xfId="0" applyFont="1" applyFill="1"/>
    <xf numFmtId="0" fontId="13" fillId="6" borderId="0" xfId="0" applyFont="1" applyFill="1"/>
    <xf numFmtId="0" fontId="13" fillId="2" borderId="0" xfId="0" applyFont="1" applyFill="1" applyAlignment="1">
      <alignment vertical="top"/>
    </xf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0</xdr:col>
      <xdr:colOff>2133600</xdr:colOff>
      <xdr:row>1</xdr:row>
      <xdr:rowOff>787400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3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zoomScale="100" zoomScaleNormal="100">
      <selection activeCell="D13" sqref="D13"/>
    </sheetView>
  </sheetViews>
  <sheetFormatPr defaultRowHeight="13" outlineLevelRow="0" outlineLevelCol="0" x14ac:dyDescent="0" defaultColWidth="9" customHeight="1"/>
  <cols>
    <col min="1" max="1" width="1.33203125" style="8" customWidth="1"/>
    <col min="2" max="2" width="11.83203125" style="38" customWidth="1"/>
    <col min="3" max="3" width="26.5" style="39" customWidth="1"/>
    <col min="4" max="4" width="17.1640625" style="39" customWidth="1"/>
    <col min="5" max="5" width="28.1640625" style="39" customWidth="1"/>
    <col min="6" max="6" width="30.6640625" style="39" customWidth="1"/>
    <col min="7" max="16384" width="9" style="8" customWidth="1"/>
  </cols>
  <sheetData>
    <row r="1" ht="25" customHeight="1" spans="2:5" x14ac:dyDescent="0.25">
      <c r="B1" s="40"/>
      <c r="D1" s="41" t="s">
        <v>18</v>
      </c>
      <c r="E1" s="42"/>
    </row>
    <row r="2" ht="13.5" customHeight="1" spans="2:5" x14ac:dyDescent="0.25">
      <c r="B2" s="40"/>
      <c r="D2" s="43"/>
      <c r="E2" s="43"/>
    </row>
    <row r="3" spans="2:6" x14ac:dyDescent="0.25">
      <c r="B3" s="44" t="s">
        <v>19</v>
      </c>
      <c r="C3" s="44"/>
      <c r="D3" s="45" t="e">
        <f>#REF!</f>
        <v>#REF!</v>
      </c>
      <c r="E3" s="45"/>
      <c r="F3" s="45"/>
    </row>
    <row r="4" spans="2:6" x14ac:dyDescent="0.25">
      <c r="B4" s="44" t="s">
        <v>20</v>
      </c>
      <c r="C4" s="44"/>
      <c r="D4" s="45" t="e">
        <f>#REF!</f>
        <v>#REF!</v>
      </c>
      <c r="E4" s="45"/>
      <c r="F4" s="45"/>
    </row>
    <row r="5" ht="84.75" customHeight="1" spans="2:6" s="46" customFormat="1" x14ac:dyDescent="0.25">
      <c r="B5" s="47" t="s">
        <v>21</v>
      </c>
      <c r="C5" s="47"/>
      <c r="D5" s="48" t="s">
        <v>22</v>
      </c>
      <c r="E5" s="48"/>
      <c r="F5" s="48"/>
    </row>
    <row r="6" spans="2:6" x14ac:dyDescent="0.25">
      <c r="B6" s="49"/>
      <c r="C6" s="8"/>
      <c r="D6" s="8"/>
      <c r="E6" s="8"/>
      <c r="F6" s="8"/>
    </row>
    <row r="7" spans="2:6" s="50" customFormat="1" x14ac:dyDescent="0.25">
      <c r="B7" s="51"/>
      <c r="C7" s="52"/>
      <c r="D7" s="52"/>
      <c r="E7" s="52"/>
      <c r="F7" s="52"/>
    </row>
    <row r="8" ht="21" customHeight="1" spans="2:6" s="53" customFormat="1" x14ac:dyDescent="0.25">
      <c r="B8" s="54" t="s">
        <v>23</v>
      </c>
      <c r="C8" s="55" t="s">
        <v>24</v>
      </c>
      <c r="D8" s="55" t="s">
        <v>25</v>
      </c>
      <c r="E8" s="56" t="s">
        <v>26</v>
      </c>
      <c r="F8" s="57" t="s">
        <v>27</v>
      </c>
    </row>
    <row r="9" ht="14" customHeight="1" spans="1:5" x14ac:dyDescent="0.25">
      <c r="A9" s="8"/>
      <c r="B9" s="38"/>
      <c r="C9" s="39">
        <v>1</v>
      </c>
      <c r="D9" s="39" t="s">
        <v>28</v>
      </c>
      <c r="E9" s="39" t="s">
        <v>29</v>
      </c>
    </row>
    <row r="10" ht="14" customHeight="1" spans="1:5" x14ac:dyDescent="0.25">
      <c r="A10" s="8"/>
      <c r="B10" s="38"/>
      <c r="C10" s="39">
        <v>2</v>
      </c>
      <c r="D10" s="39" t="s">
        <v>30</v>
      </c>
      <c r="E10" s="39" t="s">
        <v>29</v>
      </c>
    </row>
    <row r="11" ht="14" customHeight="1" spans="1:5" x14ac:dyDescent="0.25">
      <c r="A11" s="8"/>
      <c r="B11" s="38"/>
      <c r="C11" s="39">
        <v>3</v>
      </c>
      <c r="D11" s="39" t="s">
        <v>31</v>
      </c>
      <c r="E11" s="39" t="s">
        <v>29</v>
      </c>
    </row>
    <row r="12" ht="14" customHeight="1" spans="1:5" x14ac:dyDescent="0.25">
      <c r="A12" s="8"/>
      <c r="B12" s="38"/>
      <c r="C12" s="39">
        <v>4</v>
      </c>
      <c r="D12" s="39" t="s">
        <v>32</v>
      </c>
      <c r="E12" s="39" t="s">
        <v>29</v>
      </c>
    </row>
    <row r="13" ht="14" customHeight="1" spans="1:5" x14ac:dyDescent="0.25">
      <c r="A13" s="8"/>
      <c r="B13" s="38"/>
      <c r="C13" s="39">
        <v>5</v>
      </c>
      <c r="D13" s="39" t="s">
        <v>33</v>
      </c>
      <c r="E13" s="39" t="s">
        <v>29</v>
      </c>
    </row>
    <row r="14" spans="1:5" x14ac:dyDescent="0.25">
      <c r="A14" s="8"/>
      <c r="B14" s="38"/>
      <c r="C14" s="39">
        <v>6</v>
      </c>
      <c r="D14" s="39" t="s">
        <v>34</v>
      </c>
      <c r="E14" s="39" t="s">
        <v>29</v>
      </c>
    </row>
    <row r="15" spans="1:5" x14ac:dyDescent="0.25">
      <c r="A15" s="8"/>
      <c r="B15" s="38"/>
      <c r="C15" s="39">
        <v>7</v>
      </c>
      <c r="D15" s="39" t="s">
        <v>35</v>
      </c>
      <c r="E15" s="39" t="s">
        <v>29</v>
      </c>
    </row>
    <row r="16" spans="1:5" x14ac:dyDescent="0.25">
      <c r="A16" s="8"/>
      <c r="B16" s="38"/>
      <c r="C16" s="39">
        <v>8</v>
      </c>
      <c r="D16" s="39" t="s">
        <v>36</v>
      </c>
      <c r="E16" s="39" t="s">
        <v>29</v>
      </c>
    </row>
    <row r="17" spans="1:5" x14ac:dyDescent="0.25">
      <c r="A17" s="8"/>
      <c r="B17" s="38"/>
      <c r="C17" s="39">
        <v>9</v>
      </c>
      <c r="D17" s="39" t="s">
        <v>37</v>
      </c>
      <c r="E17" s="39" t="s">
        <v>29</v>
      </c>
    </row>
    <row r="18" spans="1:5" x14ac:dyDescent="0.25">
      <c r="A18" s="8"/>
      <c r="B18" s="38"/>
      <c r="C18" s="39">
        <v>10</v>
      </c>
      <c r="D18" s="39" t="s">
        <v>38</v>
      </c>
      <c r="E18" s="39" t="s">
        <v>39</v>
      </c>
    </row>
    <row r="19" spans="1:5" x14ac:dyDescent="0.25">
      <c r="A19" s="8"/>
      <c r="B19" s="38"/>
      <c r="C19" s="39">
        <v>11</v>
      </c>
      <c r="D19" s="39" t="s">
        <v>40</v>
      </c>
      <c r="E19" s="39" t="s">
        <v>39</v>
      </c>
    </row>
    <row r="20" spans="1:5" x14ac:dyDescent="0.25">
      <c r="A20" s="8"/>
      <c r="B20" s="38"/>
      <c r="C20" s="39">
        <v>12</v>
      </c>
      <c r="D20" s="39" t="s">
        <v>41</v>
      </c>
      <c r="E20" s="39" t="s">
        <v>39</v>
      </c>
    </row>
    <row r="21" spans="1:5" x14ac:dyDescent="0.25">
      <c r="A21" s="8"/>
      <c r="B21" s="38"/>
      <c r="C21" s="39">
        <v>13</v>
      </c>
      <c r="D21" s="39" t="s">
        <v>42</v>
      </c>
      <c r="E21" s="39" t="s">
        <v>39</v>
      </c>
    </row>
    <row r="22" spans="1:5" x14ac:dyDescent="0.25">
      <c r="A22" s="8"/>
      <c r="B22" s="38"/>
      <c r="C22" s="39">
        <v>14</v>
      </c>
      <c r="D22" s="39" t="s">
        <v>43</v>
      </c>
      <c r="E22" s="39" t="s">
        <v>39</v>
      </c>
    </row>
  </sheetData>
  <mergeCells count="6">
    <mergeCell ref="B3:C3"/>
    <mergeCell ref="D3:F3"/>
    <mergeCell ref="B4:C4"/>
    <mergeCell ref="D4:F4"/>
    <mergeCell ref="B5:C5"/>
    <mergeCell ref="D5:F5"/>
  </mergeCells>
  <pageMargins left="0.7479166666666667" right="0.7479166666666667" top="0.9840277777777778" bottom="1.1506944444444445" header="0.5118055555555556" footer="0.9840277777777778"/>
  <pageSetup paperSize="9" orientation="landscape" horizontalDpi="300" verticalDpi="300" scale="100" fitToWidth="1" fitToHeight="1" firstPageNumber="0" copies="1"/>
  <headerFooter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64"/>
  <sheetViews>
    <sheetView workbookViewId="0" zoomScale="85" zoomScaleNormal="85">
      <pane ySplit="10" topLeftCell="A11" activePane="bottomLeft" state="frozen"/>
      <selection pane="bottomLeft" activeCell="E23" sqref="E23"/>
    </sheetView>
  </sheetViews>
  <sheetFormatPr defaultRowHeight="13" outlineLevelRow="1" outlineLevelCol="1" x14ac:dyDescent="0" defaultColWidth="9" customHeight="1"/>
  <cols>
    <col min="1" max="1" width="17" style="8" customWidth="1"/>
    <col min="2" max="2" width="34.5" style="8" customWidth="1"/>
    <col min="3" max="3" width="34.1640625" style="8" customWidth="1"/>
    <col min="4" max="4" width="34.6640625" style="8" customWidth="1"/>
    <col min="5" max="5" width="28.33203125" style="8" customWidth="1"/>
    <col min="6" max="6" width="9.33203125" style="8" customWidth="1"/>
    <col min="7" max="7" width="10.6640625" style="8" outlineLevel="1" collapsed="1" customWidth="1"/>
    <col min="8" max="8" width="7" style="8" outlineLevel="1" collapsed="1" customWidth="1"/>
    <col min="9" max="9" width="9.33203125" style="8" customWidth="1"/>
    <col min="10" max="10" width="10.6640625" style="8" outlineLevel="1" collapsed="1" customWidth="1"/>
    <col min="11" max="11" width="7" style="8" outlineLevel="1" collapsed="1" customWidth="1"/>
    <col min="12" max="12" width="9.33203125" style="8" customWidth="1"/>
    <col min="13" max="13" width="10.6640625" style="8" outlineLevel="1" collapsed="1" customWidth="1"/>
    <col min="14" max="14" width="7" style="8" outlineLevel="1" collapsed="1" customWidth="1"/>
    <col min="15" max="15" width="28.6640625" style="8" customWidth="1"/>
    <col min="16" max="16" width="10.1640625" style="8" customWidth="1"/>
    <col min="17" max="17" width="8.1640625" style="91" customWidth="1"/>
    <col min="18" max="18" width="7.6640625" style="8" hidden="1" customWidth="1"/>
    <col min="19" max="16384" width="9" style="8" customWidth="1"/>
  </cols>
  <sheetData>
    <row r="1" ht="14" customHeight="1" x14ac:dyDescent="0.25"/>
    <row r="2" ht="15" customHeight="1" spans="1:18" s="92" customFormat="1" x14ac:dyDescent="0.25">
      <c r="A2" s="93" t="s">
        <v>58</v>
      </c>
      <c r="B2" s="94" t="s">
        <v>59</v>
      </c>
      <c r="C2" s="94"/>
      <c r="D2" s="94"/>
      <c r="E2" s="95"/>
      <c r="F2" s="96"/>
      <c r="G2" s="97"/>
      <c r="H2" s="46"/>
      <c r="I2" s="96"/>
      <c r="J2" s="97"/>
      <c r="K2" s="46"/>
      <c r="L2" s="96"/>
      <c r="M2" s="97"/>
      <c r="N2" s="46"/>
      <c r="O2" s="46"/>
      <c r="P2" s="46"/>
      <c r="Q2" s="98"/>
      <c r="R2" s="92" t="s">
        <v>49</v>
      </c>
    </row>
    <row r="3" ht="14" customHeight="1" spans="1:18" s="92" customFormat="1" x14ac:dyDescent="0.25">
      <c r="A3" s="99" t="s">
        <v>60</v>
      </c>
      <c r="B3" s="100" t="s">
        <v>61</v>
      </c>
      <c r="C3" s="100"/>
      <c r="D3" s="100"/>
      <c r="E3" s="101"/>
      <c r="F3" s="96"/>
      <c r="G3" s="97"/>
      <c r="H3" s="46"/>
      <c r="I3" s="96"/>
      <c r="J3" s="97"/>
      <c r="K3" s="46"/>
      <c r="L3" s="96"/>
      <c r="M3" s="97"/>
      <c r="N3" s="46"/>
      <c r="O3" s="46"/>
      <c r="P3" s="46"/>
      <c r="Q3" s="98"/>
      <c r="R3" s="92" t="s">
        <v>50</v>
      </c>
    </row>
    <row r="4" ht="18" customHeight="1" spans="1:18" s="92" customFormat="1" x14ac:dyDescent="0.25">
      <c r="A4" s="99" t="s">
        <v>62</v>
      </c>
      <c r="B4" s="100">
        <f>COUNTA(B11:B1000)</f>
      </c>
      <c r="C4" s="100"/>
      <c r="D4" s="100"/>
      <c r="E4" s="101"/>
      <c r="F4" s="96"/>
      <c r="G4" s="97"/>
      <c r="H4" s="46"/>
      <c r="I4" s="96"/>
      <c r="J4" s="97"/>
      <c r="K4" s="46"/>
      <c r="L4" s="96"/>
      <c r="M4" s="97"/>
      <c r="N4" s="46"/>
      <c r="O4" s="46"/>
      <c r="P4" s="46"/>
      <c r="Q4" s="98"/>
      <c r="R4" s="92" t="s">
        <v>51</v>
      </c>
    </row>
    <row r="5" ht="19.5" customHeight="1" spans="1:18" s="92" customFormat="1" x14ac:dyDescent="0.25">
      <c r="A5" s="102" t="s">
        <v>63</v>
      </c>
      <c r="B5" s="103" t="s">
        <v>49</v>
      </c>
      <c r="C5" s="103" t="s">
        <v>50</v>
      </c>
      <c r="D5" s="103" t="s">
        <v>51</v>
      </c>
      <c r="E5" s="104" t="s">
        <v>52</v>
      </c>
      <c r="F5" s="105"/>
      <c r="G5" s="105"/>
      <c r="H5" s="106"/>
      <c r="I5" s="105"/>
      <c r="J5" s="105"/>
      <c r="K5" s="106"/>
      <c r="L5" s="105"/>
      <c r="M5" s="105"/>
      <c r="N5" s="106"/>
      <c r="O5" s="106"/>
      <c r="P5" s="106"/>
      <c r="Q5" s="107"/>
      <c r="R5" s="92" t="s">
        <v>52</v>
      </c>
    </row>
    <row r="6" ht="15" customHeight="1" spans="1:17" s="92" customFormat="1" x14ac:dyDescent="0.25">
      <c r="A6" s="102" t="s">
        <v>64</v>
      </c>
      <c r="B6" s="108">
        <f>COUNTIF($G10:$G998, B5)</f>
      </c>
      <c r="C6" s="108">
        <f>COUNTIF($G10:$G998, C5)</f>
      </c>
      <c r="D6" s="108">
        <f>COUNTIF($G10:$G998, D5)</f>
      </c>
      <c r="E6" s="109">
        <f>COUNTIF($G10:$G998, E5)</f>
      </c>
      <c r="F6" s="110"/>
      <c r="G6" s="110"/>
      <c r="H6" s="106"/>
      <c r="I6" s="110"/>
      <c r="J6" s="110"/>
      <c r="K6" s="106"/>
      <c r="L6" s="110"/>
      <c r="M6" s="110"/>
      <c r="N6" s="106"/>
      <c r="O6" s="106"/>
      <c r="P6" s="106"/>
      <c r="Q6" s="107"/>
    </row>
    <row r="7" ht="15" customHeight="1" spans="1:17" s="92" customFormat="1" x14ac:dyDescent="0.25">
      <c r="A7" s="102" t="s">
        <v>65</v>
      </c>
      <c r="B7" s="108">
        <f>COUNTIF($J10:$J998, B5)</f>
      </c>
      <c r="C7" s="108">
        <f>COUNTIF($J10:$J998, C5)</f>
      </c>
      <c r="D7" s="108">
        <f>COUNTIF($J10:$J998, D5)</f>
      </c>
      <c r="E7" s="109">
        <f>COUNTIF($J10:$J998, E5)</f>
      </c>
      <c r="F7" s="110"/>
      <c r="G7" s="110"/>
      <c r="H7" s="106"/>
      <c r="I7" s="110"/>
      <c r="J7" s="110"/>
      <c r="K7" s="106"/>
      <c r="L7" s="110"/>
      <c r="M7" s="110"/>
      <c r="N7" s="106"/>
      <c r="O7" s="106"/>
      <c r="P7" s="106"/>
      <c r="Q7" s="107"/>
    </row>
    <row r="8" ht="15" customHeight="1" spans="1:17" s="92" customFormat="1" x14ac:dyDescent="0.25">
      <c r="A8" s="111" t="s">
        <v>66</v>
      </c>
      <c r="B8" s="112">
        <f>COUNTIF($M10:$M998, B5)</f>
      </c>
      <c r="C8" s="112">
        <f>COUNTIF($M10:$M998, C5)</f>
      </c>
      <c r="D8" s="112">
        <f>COUNTIF($M10:$M998, D5)</f>
      </c>
      <c r="E8" s="113">
        <f>COUNTIF($M10:$M998, E5)</f>
      </c>
      <c r="F8" s="110"/>
      <c r="G8" s="110"/>
      <c r="H8" s="106"/>
      <c r="I8" s="110"/>
      <c r="J8" s="110"/>
      <c r="K8" s="106"/>
      <c r="L8" s="110"/>
      <c r="M8" s="110"/>
      <c r="N8" s="106"/>
      <c r="O8" s="106"/>
      <c r="P8" s="106"/>
      <c r="Q8" s="107"/>
    </row>
    <row r="9" ht="15" customHeight="1" spans="1:17" s="92" customFormat="1" x14ac:dyDescent="0.25">
      <c r="A9" s="106"/>
      <c r="B9" s="106"/>
      <c r="C9" s="106"/>
      <c r="D9" s="106"/>
      <c r="E9" s="106"/>
      <c r="F9" s="90"/>
      <c r="G9" s="106"/>
      <c r="H9" s="106"/>
      <c r="I9" s="90"/>
      <c r="J9" s="106"/>
      <c r="K9" s="106"/>
      <c r="L9" s="90"/>
      <c r="M9" s="106"/>
      <c r="N9" s="106"/>
      <c r="O9" s="106"/>
      <c r="P9" s="106"/>
      <c r="Q9" s="107"/>
    </row>
    <row r="10" ht="25.5" customHeight="1" spans="1:17" s="92" customFormat="1" x14ac:dyDescent="0.25">
      <c r="A10" s="114" t="s">
        <v>67</v>
      </c>
      <c r="B10" s="114" t="s">
        <v>68</v>
      </c>
      <c r="C10" s="114" t="s">
        <v>69</v>
      </c>
      <c r="D10" s="114" t="s">
        <v>70</v>
      </c>
      <c r="E10" s="114" t="s">
        <v>71</v>
      </c>
      <c r="F10" s="114" t="s">
        <v>64</v>
      </c>
      <c r="G10" s="114" t="s">
        <v>72</v>
      </c>
      <c r="H10" s="114" t="s">
        <v>73</v>
      </c>
      <c r="I10" s="114" t="s">
        <v>65</v>
      </c>
      <c r="J10" s="114" t="s">
        <v>72</v>
      </c>
      <c r="K10" s="114" t="s">
        <v>73</v>
      </c>
      <c r="L10" s="114" t="s">
        <v>66</v>
      </c>
      <c r="M10" s="114" t="s">
        <v>72</v>
      </c>
      <c r="N10" s="114" t="s">
        <v>73</v>
      </c>
      <c r="O10" s="114" t="s">
        <v>74</v>
      </c>
      <c r="Q10" s="115"/>
    </row>
    <row r="11" ht="15.75" customHeight="1" spans="1:16" s="92" customFormat="1" x14ac:dyDescent="0.25">
      <c r="A11" s="92"/>
      <c r="B11" s="116" t="s">
        <v>75</v>
      </c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</row>
    <row r="12" ht="121" customHeight="1" spans="2:7" s="118" customFormat="1" x14ac:dyDescent="0.25" outlineLevel="1" collapsed="1">
      <c r="B12" s="118" t="s">
        <v>76</v>
      </c>
      <c r="C12" s="118" t="s">
        <v>77</v>
      </c>
      <c r="D12" s="118" t="s">
        <v>78</v>
      </c>
      <c r="E12" s="118" t="s">
        <v>79</v>
      </c>
      <c r="F12" s="118" t="s">
        <v>80</v>
      </c>
      <c r="G12" s="118" t="s">
        <v>49</v>
      </c>
    </row>
    <row r="13" ht="14" customHeight="1" spans="2:7" x14ac:dyDescent="0.25" outlineLevel="1" collapsed="1">
      <c r="B13" s="8" t="s">
        <v>81</v>
      </c>
      <c r="C13" s="8" t="s">
        <v>82</v>
      </c>
      <c r="D13" s="8" t="s">
        <v>78</v>
      </c>
      <c r="E13" s="8" t="s">
        <v>83</v>
      </c>
      <c r="F13" s="8" t="s">
        <v>80</v>
      </c>
      <c r="G13" s="8" t="s">
        <v>49</v>
      </c>
    </row>
    <row r="14" ht="14" customHeight="1" spans="2:7" x14ac:dyDescent="0.25" outlineLevel="1" collapsed="1">
      <c r="B14" s="8" t="s">
        <v>84</v>
      </c>
      <c r="C14" s="8" t="s">
        <v>85</v>
      </c>
      <c r="D14" s="8" t="s">
        <v>78</v>
      </c>
      <c r="E14" s="8" t="s">
        <v>86</v>
      </c>
      <c r="F14" s="8" t="s">
        <v>80</v>
      </c>
      <c r="G14" s="8" t="s">
        <v>49</v>
      </c>
    </row>
    <row r="15" ht="15.75" customHeight="1" spans="2:7" s="92" customFormat="1" x14ac:dyDescent="0.25">
      <c r="B15" s="92" t="s">
        <v>87</v>
      </c>
      <c r="C15" s="92" t="s">
        <v>88</v>
      </c>
      <c r="D15" s="92" t="s">
        <v>78</v>
      </c>
      <c r="E15" s="92" t="s">
        <v>89</v>
      </c>
      <c r="F15" s="92" t="s">
        <v>80</v>
      </c>
      <c r="G15" s="92" t="s">
        <v>49</v>
      </c>
    </row>
    <row r="16" ht="14" customHeight="1" spans="2:7" x14ac:dyDescent="0.25" outlineLevel="1" collapsed="1">
      <c r="B16" s="8" t="s">
        <v>90</v>
      </c>
      <c r="C16" s="8" t="s">
        <v>91</v>
      </c>
      <c r="D16" s="8" t="s">
        <v>78</v>
      </c>
      <c r="E16" s="8" t="s">
        <v>92</v>
      </c>
      <c r="F16" s="8" t="s">
        <v>80</v>
      </c>
      <c r="G16" s="8" t="s">
        <v>49</v>
      </c>
    </row>
    <row r="17" ht="14" customHeight="1" spans="2:7" x14ac:dyDescent="0.25" outlineLevel="1" collapsed="1">
      <c r="B17" s="8" t="s">
        <v>93</v>
      </c>
      <c r="C17" s="8" t="s">
        <v>94</v>
      </c>
      <c r="D17" s="8" t="s">
        <v>95</v>
      </c>
      <c r="E17" s="8" t="s">
        <v>96</v>
      </c>
      <c r="F17" s="8" t="s">
        <v>80</v>
      </c>
      <c r="G17" s="8" t="s">
        <v>49</v>
      </c>
    </row>
    <row r="18" ht="15.75" customHeight="1" spans="2:7" s="92" customFormat="1" x14ac:dyDescent="0.25">
      <c r="B18" s="92" t="s">
        <v>97</v>
      </c>
      <c r="C18" s="92" t="s">
        <v>98</v>
      </c>
      <c r="D18" s="92" t="s">
        <v>78</v>
      </c>
      <c r="E18" s="92" t="s">
        <v>99</v>
      </c>
      <c r="F18" s="92" t="s">
        <v>80</v>
      </c>
      <c r="G18" s="92" t="s">
        <v>49</v>
      </c>
    </row>
    <row r="19" ht="14" customHeight="1" spans="2:7" x14ac:dyDescent="0.25" outlineLevel="1" collapsed="1">
      <c r="B19" s="8" t="s">
        <v>100</v>
      </c>
      <c r="C19" s="8" t="s">
        <v>101</v>
      </c>
      <c r="D19" s="8" t="s">
        <v>78</v>
      </c>
      <c r="E19" s="8" t="s">
        <v>102</v>
      </c>
      <c r="F19" s="8" t="s">
        <v>80</v>
      </c>
      <c r="G19" s="8" t="s">
        <v>49</v>
      </c>
    </row>
    <row r="20" spans="2:7" x14ac:dyDescent="0.25">
      <c r="B20" s="8" t="s">
        <v>103</v>
      </c>
      <c r="C20" s="8" t="s">
        <v>104</v>
      </c>
      <c r="D20" s="8" t="s">
        <v>78</v>
      </c>
      <c r="E20" s="8" t="s">
        <v>105</v>
      </c>
      <c r="F20" s="8" t="s">
        <v>80</v>
      </c>
      <c r="G20" s="8" t="s">
        <v>49</v>
      </c>
    </row>
    <row r="21" spans="1:16" x14ac:dyDescent="0.25">
      <c r="A21" s="8"/>
      <c r="B21" s="116" t="s">
        <v>106</v>
      </c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</row>
    <row r="22" spans="2:7" x14ac:dyDescent="0.25">
      <c r="B22" s="8" t="s">
        <v>107</v>
      </c>
      <c r="C22" s="8" t="s">
        <v>108</v>
      </c>
      <c r="D22" s="8" t="s">
        <v>95</v>
      </c>
      <c r="E22" s="8" t="s">
        <v>109</v>
      </c>
      <c r="F22" s="8" t="s">
        <v>80</v>
      </c>
      <c r="G22" s="8" t="s">
        <v>49</v>
      </c>
    </row>
    <row r="23" spans="2:7" x14ac:dyDescent="0.25">
      <c r="B23" s="8" t="s">
        <v>110</v>
      </c>
      <c r="C23" s="8" t="s">
        <v>111</v>
      </c>
      <c r="D23" s="8" t="s">
        <v>112</v>
      </c>
      <c r="E23" s="8" t="s">
        <v>113</v>
      </c>
      <c r="F23" s="8" t="s">
        <v>80</v>
      </c>
      <c r="G23" s="8" t="s">
        <v>49</v>
      </c>
    </row>
    <row r="24" spans="1:16" x14ac:dyDescent="0.25">
      <c r="A24" s="8"/>
      <c r="B24" s="116" t="s">
        <v>114</v>
      </c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</row>
    <row r="25" spans="2:7" x14ac:dyDescent="0.25">
      <c r="B25" s="8" t="s">
        <v>115</v>
      </c>
      <c r="C25" s="8" t="s">
        <v>116</v>
      </c>
      <c r="D25" s="8" t="s">
        <v>95</v>
      </c>
      <c r="E25" s="8" t="s">
        <v>117</v>
      </c>
      <c r="F25" s="8" t="s">
        <v>80</v>
      </c>
      <c r="G25" s="8" t="s">
        <v>49</v>
      </c>
    </row>
    <row r="26" spans="2:7" x14ac:dyDescent="0.25">
      <c r="B26" s="8" t="s">
        <v>118</v>
      </c>
      <c r="C26" s="8" t="s">
        <v>119</v>
      </c>
      <c r="D26" s="8" t="s">
        <v>95</v>
      </c>
      <c r="E26" s="8" t="s">
        <v>120</v>
      </c>
      <c r="F26" s="8" t="s">
        <v>80</v>
      </c>
      <c r="G26" s="8" t="s">
        <v>49</v>
      </c>
    </row>
    <row r="27" spans="2:7" x14ac:dyDescent="0.25">
      <c r="B27" s="8" t="s">
        <v>121</v>
      </c>
      <c r="C27" s="8" t="s">
        <v>122</v>
      </c>
      <c r="D27" s="8" t="s">
        <v>78</v>
      </c>
      <c r="E27" s="8" t="s">
        <v>123</v>
      </c>
      <c r="F27" s="8" t="s">
        <v>80</v>
      </c>
      <c r="G27" s="8" t="s">
        <v>50</v>
      </c>
    </row>
    <row r="28" spans="2:7" x14ac:dyDescent="0.25">
      <c r="B28" s="8" t="s">
        <v>124</v>
      </c>
      <c r="C28" s="8" t="s">
        <v>125</v>
      </c>
      <c r="D28" s="8" t="s">
        <v>95</v>
      </c>
      <c r="E28" s="8" t="s">
        <v>126</v>
      </c>
      <c r="F28" s="8" t="s">
        <v>80</v>
      </c>
      <c r="G28" s="8" t="s">
        <v>49</v>
      </c>
    </row>
    <row r="29" spans="2:7" x14ac:dyDescent="0.25">
      <c r="B29" s="8" t="s">
        <v>127</v>
      </c>
      <c r="C29" s="8" t="s">
        <v>128</v>
      </c>
      <c r="D29" s="8" t="s">
        <v>95</v>
      </c>
      <c r="E29" s="8" t="s">
        <v>129</v>
      </c>
      <c r="F29" s="8" t="s">
        <v>80</v>
      </c>
      <c r="G29" s="8" t="s">
        <v>49</v>
      </c>
    </row>
    <row r="30" spans="2:7" x14ac:dyDescent="0.25">
      <c r="B30" s="8" t="s">
        <v>130</v>
      </c>
      <c r="C30" s="8" t="s">
        <v>131</v>
      </c>
      <c r="D30" s="8" t="s">
        <v>78</v>
      </c>
      <c r="E30" s="8" t="s">
        <v>132</v>
      </c>
      <c r="F30" s="8" t="s">
        <v>80</v>
      </c>
      <c r="G30" s="8" t="s">
        <v>49</v>
      </c>
    </row>
    <row r="31" spans="2:7" x14ac:dyDescent="0.25">
      <c r="B31" s="8" t="s">
        <v>133</v>
      </c>
      <c r="C31" s="8" t="s">
        <v>134</v>
      </c>
      <c r="D31" s="8" t="s">
        <v>95</v>
      </c>
      <c r="E31" s="8" t="s">
        <v>135</v>
      </c>
      <c r="F31" s="8" t="s">
        <v>80</v>
      </c>
      <c r="G31" s="8" t="s">
        <v>49</v>
      </c>
    </row>
    <row r="32" spans="2:7" x14ac:dyDescent="0.25">
      <c r="B32" s="8" t="s">
        <v>136</v>
      </c>
      <c r="C32" s="8" t="s">
        <v>137</v>
      </c>
      <c r="D32" s="8" t="s">
        <v>95</v>
      </c>
      <c r="E32" s="8" t="s">
        <v>138</v>
      </c>
      <c r="F32" s="8" t="s">
        <v>80</v>
      </c>
      <c r="G32" s="8" t="s">
        <v>49</v>
      </c>
    </row>
    <row r="33" spans="1:16" x14ac:dyDescent="0.25">
      <c r="A33" s="8"/>
      <c r="B33" s="116" t="s">
        <v>139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</row>
    <row r="34" spans="2:7" x14ac:dyDescent="0.25">
      <c r="B34" s="8" t="s">
        <v>140</v>
      </c>
      <c r="C34" s="8" t="s">
        <v>141</v>
      </c>
      <c r="D34" s="8" t="s">
        <v>95</v>
      </c>
      <c r="E34" s="8" t="s">
        <v>142</v>
      </c>
      <c r="F34" s="8" t="s">
        <v>80</v>
      </c>
      <c r="G34" s="8" t="s">
        <v>49</v>
      </c>
    </row>
    <row r="35" spans="2:7" x14ac:dyDescent="0.25">
      <c r="B35" s="8" t="s">
        <v>143</v>
      </c>
      <c r="C35" s="8" t="s">
        <v>144</v>
      </c>
      <c r="D35" s="8" t="s">
        <v>95</v>
      </c>
      <c r="E35" s="8" t="s">
        <v>145</v>
      </c>
      <c r="F35" s="8" t="s">
        <v>80</v>
      </c>
      <c r="G35" s="8" t="s">
        <v>49</v>
      </c>
    </row>
    <row r="36" spans="2:7" x14ac:dyDescent="0.25">
      <c r="B36" s="8" t="s">
        <v>146</v>
      </c>
      <c r="C36" s="8" t="s">
        <v>147</v>
      </c>
      <c r="D36" s="8" t="s">
        <v>95</v>
      </c>
      <c r="E36" s="8" t="s">
        <v>148</v>
      </c>
      <c r="F36" s="8" t="s">
        <v>80</v>
      </c>
      <c r="G36" s="8" t="s">
        <v>49</v>
      </c>
    </row>
    <row r="37" spans="2:7" x14ac:dyDescent="0.25">
      <c r="B37" s="8" t="s">
        <v>149</v>
      </c>
      <c r="C37" s="8" t="s">
        <v>150</v>
      </c>
      <c r="D37" s="8" t="s">
        <v>78</v>
      </c>
      <c r="E37" s="8" t="s">
        <v>151</v>
      </c>
      <c r="F37" s="8" t="s">
        <v>80</v>
      </c>
      <c r="G37" s="8" t="s">
        <v>49</v>
      </c>
    </row>
    <row r="38" spans="2:7" x14ac:dyDescent="0.25">
      <c r="B38" s="8" t="s">
        <v>152</v>
      </c>
      <c r="C38" s="8" t="s">
        <v>153</v>
      </c>
      <c r="D38" s="8" t="s">
        <v>112</v>
      </c>
      <c r="E38" s="8" t="s">
        <v>154</v>
      </c>
      <c r="F38" s="8" t="s">
        <v>80</v>
      </c>
      <c r="G38" s="8" t="s">
        <v>49</v>
      </c>
    </row>
    <row r="39" spans="2:7" x14ac:dyDescent="0.25">
      <c r="B39" s="8" t="s">
        <v>155</v>
      </c>
      <c r="C39" s="8" t="s">
        <v>156</v>
      </c>
      <c r="D39" s="8" t="s">
        <v>78</v>
      </c>
      <c r="E39" s="8" t="s">
        <v>157</v>
      </c>
      <c r="F39" s="8" t="s">
        <v>80</v>
      </c>
      <c r="G39" s="8" t="s">
        <v>49</v>
      </c>
    </row>
    <row r="40" spans="2:7" x14ac:dyDescent="0.25">
      <c r="B40" s="8" t="s">
        <v>158</v>
      </c>
      <c r="C40" s="8" t="s">
        <v>159</v>
      </c>
      <c r="D40" s="8" t="s">
        <v>78</v>
      </c>
      <c r="E40" s="8" t="s">
        <v>160</v>
      </c>
      <c r="F40" s="8" t="s">
        <v>80</v>
      </c>
      <c r="G40" s="8" t="s">
        <v>49</v>
      </c>
    </row>
    <row r="41" spans="1:16" x14ac:dyDescent="0.25">
      <c r="A41" s="8"/>
      <c r="B41" s="116" t="s">
        <v>161</v>
      </c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</row>
    <row r="42" spans="2:7" x14ac:dyDescent="0.25">
      <c r="B42" s="8" t="s">
        <v>162</v>
      </c>
      <c r="C42" s="8" t="s">
        <v>163</v>
      </c>
      <c r="D42" s="8" t="s">
        <v>78</v>
      </c>
      <c r="E42" s="8" t="s">
        <v>164</v>
      </c>
      <c r="F42" s="8" t="s">
        <v>80</v>
      </c>
      <c r="G42" s="8" t="s">
        <v>49</v>
      </c>
    </row>
    <row r="43" spans="2:7" x14ac:dyDescent="0.25">
      <c r="B43" s="8" t="s">
        <v>165</v>
      </c>
      <c r="C43" s="8" t="s">
        <v>166</v>
      </c>
      <c r="D43" s="8" t="s">
        <v>95</v>
      </c>
      <c r="E43" s="8" t="s">
        <v>167</v>
      </c>
      <c r="F43" s="8" t="s">
        <v>80</v>
      </c>
      <c r="G43" s="8" t="s">
        <v>49</v>
      </c>
    </row>
    <row r="44" spans="2:7" x14ac:dyDescent="0.25">
      <c r="B44" s="8" t="s">
        <v>168</v>
      </c>
      <c r="C44" s="8" t="s">
        <v>169</v>
      </c>
      <c r="D44" s="8" t="s">
        <v>95</v>
      </c>
      <c r="E44" s="8" t="s">
        <v>170</v>
      </c>
      <c r="F44" s="8" t="s">
        <v>80</v>
      </c>
      <c r="G44" s="8" t="s">
        <v>49</v>
      </c>
    </row>
    <row r="45" spans="2:7" x14ac:dyDescent="0.25">
      <c r="B45" s="8" t="s">
        <v>171</v>
      </c>
      <c r="C45" s="8" t="s">
        <v>172</v>
      </c>
      <c r="D45" s="8" t="s">
        <v>78</v>
      </c>
      <c r="E45" s="8" t="s">
        <v>173</v>
      </c>
      <c r="F45" s="8" t="s">
        <v>80</v>
      </c>
      <c r="G45" s="8" t="s">
        <v>49</v>
      </c>
    </row>
    <row r="46" spans="2:7" x14ac:dyDescent="0.25">
      <c r="B46" s="8" t="s">
        <v>174</v>
      </c>
      <c r="C46" s="8" t="s">
        <v>175</v>
      </c>
      <c r="D46" s="8" t="s">
        <v>78</v>
      </c>
      <c r="E46" s="8" t="s">
        <v>176</v>
      </c>
      <c r="F46" s="8" t="s">
        <v>80</v>
      </c>
      <c r="G46" s="8" t="s">
        <v>49</v>
      </c>
    </row>
    <row r="47" spans="2:7" x14ac:dyDescent="0.25">
      <c r="B47" s="8" t="s">
        <v>177</v>
      </c>
      <c r="C47" s="8" t="s">
        <v>178</v>
      </c>
      <c r="D47" s="8" t="s">
        <v>95</v>
      </c>
      <c r="E47" s="8" t="s">
        <v>179</v>
      </c>
      <c r="F47" s="8" t="s">
        <v>80</v>
      </c>
      <c r="G47" s="8" t="s">
        <v>49</v>
      </c>
    </row>
    <row r="48" spans="1:16" x14ac:dyDescent="0.25">
      <c r="A48" s="8"/>
      <c r="B48" s="116" t="s">
        <v>180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</row>
    <row r="49" spans="2:7" x14ac:dyDescent="0.25">
      <c r="B49" s="8" t="s">
        <v>181</v>
      </c>
      <c r="C49" s="8" t="s">
        <v>182</v>
      </c>
      <c r="D49" s="8" t="s">
        <v>95</v>
      </c>
      <c r="E49" s="8" t="s">
        <v>183</v>
      </c>
      <c r="F49" s="8" t="s">
        <v>80</v>
      </c>
      <c r="G49" s="8" t="s">
        <v>49</v>
      </c>
    </row>
    <row r="50" spans="2:7" x14ac:dyDescent="0.25">
      <c r="B50" s="8" t="s">
        <v>184</v>
      </c>
      <c r="C50" s="8" t="s">
        <v>185</v>
      </c>
      <c r="D50" s="8" t="s">
        <v>95</v>
      </c>
      <c r="E50" s="8" t="s">
        <v>186</v>
      </c>
      <c r="F50" s="8" t="s">
        <v>80</v>
      </c>
      <c r="G50" s="8" t="s">
        <v>49</v>
      </c>
    </row>
    <row r="51" spans="2:7" x14ac:dyDescent="0.25">
      <c r="B51" s="8" t="s">
        <v>187</v>
      </c>
      <c r="C51" s="8" t="s">
        <v>188</v>
      </c>
      <c r="D51" s="8" t="s">
        <v>95</v>
      </c>
      <c r="E51" s="8" t="s">
        <v>189</v>
      </c>
      <c r="F51" s="8" t="s">
        <v>80</v>
      </c>
      <c r="G51" s="8" t="s">
        <v>49</v>
      </c>
    </row>
    <row r="52" spans="2:7" x14ac:dyDescent="0.25">
      <c r="B52" s="8" t="s">
        <v>190</v>
      </c>
      <c r="C52" s="8" t="s">
        <v>191</v>
      </c>
      <c r="D52" s="8" t="s">
        <v>78</v>
      </c>
      <c r="E52" s="8" t="s">
        <v>192</v>
      </c>
      <c r="F52" s="8" t="s">
        <v>80</v>
      </c>
      <c r="G52" s="8" t="s">
        <v>49</v>
      </c>
    </row>
    <row r="53" spans="2:7" x14ac:dyDescent="0.25">
      <c r="B53" s="8" t="s">
        <v>193</v>
      </c>
      <c r="C53" s="8" t="s">
        <v>194</v>
      </c>
      <c r="D53" s="8" t="s">
        <v>95</v>
      </c>
      <c r="E53" s="8" t="s">
        <v>195</v>
      </c>
      <c r="F53" s="8" t="s">
        <v>80</v>
      </c>
      <c r="G53" s="8" t="s">
        <v>49</v>
      </c>
    </row>
    <row r="54" spans="1:16" x14ac:dyDescent="0.25">
      <c r="A54" s="8"/>
      <c r="B54" s="116" t="s">
        <v>196</v>
      </c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</row>
    <row r="55" spans="2:7" x14ac:dyDescent="0.25">
      <c r="B55" s="8" t="s">
        <v>197</v>
      </c>
      <c r="C55" s="8" t="s">
        <v>198</v>
      </c>
      <c r="D55" s="8" t="s">
        <v>95</v>
      </c>
      <c r="E55" s="8" t="s">
        <v>199</v>
      </c>
      <c r="F55" s="8" t="s">
        <v>80</v>
      </c>
      <c r="G55" s="8" t="s">
        <v>49</v>
      </c>
    </row>
    <row r="56" spans="2:7" x14ac:dyDescent="0.25">
      <c r="B56" s="8" t="s">
        <v>200</v>
      </c>
      <c r="C56" s="8" t="s">
        <v>201</v>
      </c>
      <c r="D56" s="8" t="s">
        <v>78</v>
      </c>
      <c r="E56" s="8" t="s">
        <v>202</v>
      </c>
      <c r="F56" s="8" t="s">
        <v>80</v>
      </c>
      <c r="G56" s="8" t="s">
        <v>49</v>
      </c>
    </row>
    <row r="57" spans="2:7" x14ac:dyDescent="0.25">
      <c r="B57" s="8" t="s">
        <v>203</v>
      </c>
      <c r="C57" s="8" t="s">
        <v>204</v>
      </c>
      <c r="D57" s="8" t="s">
        <v>95</v>
      </c>
      <c r="E57" s="8" t="s">
        <v>205</v>
      </c>
      <c r="F57" s="8" t="s">
        <v>80</v>
      </c>
      <c r="G57" s="8" t="s">
        <v>49</v>
      </c>
    </row>
    <row r="58" spans="2:7" x14ac:dyDescent="0.25">
      <c r="B58" s="8" t="s">
        <v>206</v>
      </c>
      <c r="C58" s="8" t="s">
        <v>207</v>
      </c>
      <c r="D58" s="8" t="s">
        <v>78</v>
      </c>
      <c r="E58" s="8" t="s">
        <v>208</v>
      </c>
      <c r="F58" s="8" t="s">
        <v>80</v>
      </c>
      <c r="G58" s="8" t="s">
        <v>49</v>
      </c>
    </row>
    <row r="59" spans="1:16" x14ac:dyDescent="0.25">
      <c r="A59" s="8"/>
      <c r="B59" s="116" t="s">
        <v>209</v>
      </c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</row>
    <row r="60" spans="2:7" x14ac:dyDescent="0.25">
      <c r="B60" s="8" t="s">
        <v>210</v>
      </c>
      <c r="C60" s="8" t="s">
        <v>211</v>
      </c>
      <c r="D60" s="8" t="s">
        <v>95</v>
      </c>
      <c r="E60" s="8" t="s">
        <v>212</v>
      </c>
      <c r="F60" s="8" t="s">
        <v>80</v>
      </c>
      <c r="G60" s="8" t="s">
        <v>49</v>
      </c>
    </row>
    <row r="61" spans="2:7" x14ac:dyDescent="0.25">
      <c r="B61" s="8" t="s">
        <v>213</v>
      </c>
      <c r="C61" s="8" t="s">
        <v>214</v>
      </c>
      <c r="D61" s="8" t="s">
        <v>78</v>
      </c>
      <c r="E61" s="8" t="s">
        <v>215</v>
      </c>
      <c r="F61" s="8" t="s">
        <v>80</v>
      </c>
      <c r="G61" s="8" t="s">
        <v>49</v>
      </c>
    </row>
    <row r="62" spans="1:16" x14ac:dyDescent="0.25">
      <c r="A62" s="8"/>
      <c r="B62" s="116" t="s">
        <v>216</v>
      </c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</row>
    <row r="63" spans="2:7" x14ac:dyDescent="0.25">
      <c r="B63" s="8" t="s">
        <v>217</v>
      </c>
      <c r="C63" s="8" t="s">
        <v>218</v>
      </c>
      <c r="D63" s="8" t="s">
        <v>95</v>
      </c>
      <c r="E63" s="8" t="s">
        <v>219</v>
      </c>
      <c r="F63" s="8" t="s">
        <v>80</v>
      </c>
      <c r="G63" s="8" t="s">
        <v>49</v>
      </c>
    </row>
    <row r="64" spans="2:7" x14ac:dyDescent="0.25">
      <c r="B64" s="8" t="s">
        <v>220</v>
      </c>
      <c r="C64" s="8" t="s">
        <v>221</v>
      </c>
      <c r="D64" s="8" t="s">
        <v>78</v>
      </c>
      <c r="E64" s="8" t="s">
        <v>222</v>
      </c>
      <c r="F64" s="8" t="s">
        <v>80</v>
      </c>
      <c r="G64" s="8" t="s">
        <v>49</v>
      </c>
    </row>
  </sheetData>
  <mergeCells count="3">
    <mergeCell ref="B2:E2"/>
    <mergeCell ref="B3:E3"/>
    <mergeCell ref="B4:E4"/>
  </mergeCells>
  <dataValidations count="18">
    <dataValidation showErrorMessage="1" sqref="F10"/>
    <dataValidation type="list" allowBlank="1" showErrorMessage="1" sqref="F12:F19">
      <formula1>$R$2:$R$5</formula1>
      <formula2>0</formula2>
    </dataValidation>
    <dataValidation type="list" allowBlank="1" showErrorMessage="1" sqref="G100:G147">
      <formula1>$R$2:$R$5</formula1>
      <formula2>0</formula2>
    </dataValidation>
    <dataValidation type="list" allowBlank="1" showErrorMessage="1" sqref="G2:G3">
      <formula1>$R$2:$R$5</formula1>
      <formula2>0</formula2>
    </dataValidation>
    <dataValidation type="list" allowBlank="1" showErrorMessage="1" sqref="G20:G147">
      <formula1>$R$2:$R$5</formula1>
      <formula2>0</formula2>
    </dataValidation>
    <dataValidation type="list" allowBlank="1" showErrorMessage="1" sqref="G9">
      <formula1>$R$2:$R$5</formula1>
      <formula2>0</formula2>
    </dataValidation>
    <dataValidation showErrorMessage="1" sqref="I10"/>
    <dataValidation type="list" allowBlank="1" showErrorMessage="1" sqref="I12:I19">
      <formula1>$R$2:$R$5</formula1>
      <formula2>0</formula2>
    </dataValidation>
    <dataValidation type="list" allowBlank="1" showErrorMessage="1" sqref="J100:J147">
      <formula1>$R$2:$R$5</formula1>
      <formula2>0</formula2>
    </dataValidation>
    <dataValidation type="list" allowBlank="1" showErrorMessage="1" sqref="J2:J3">
      <formula1>$R$2:$R$5</formula1>
      <formula2>0</formula2>
    </dataValidation>
    <dataValidation type="list" allowBlank="1" showErrorMessage="1" sqref="J20:J147">
      <formula1>$R$2:$R$5</formula1>
      <formula2>0</formula2>
    </dataValidation>
    <dataValidation type="list" allowBlank="1" showErrorMessage="1" sqref="J9">
      <formula1>$R$2:$R$5</formula1>
      <formula2>0</formula2>
    </dataValidation>
    <dataValidation showErrorMessage="1" sqref="L10"/>
    <dataValidation type="list" allowBlank="1" showErrorMessage="1" sqref="L12:L19">
      <formula1>$R$2:$R$5</formula1>
      <formula2>0</formula2>
    </dataValidation>
    <dataValidation type="list" allowBlank="1" showErrorMessage="1" sqref="M100:M147">
      <formula1>$R$2:$R$5</formula1>
      <formula2>0</formula2>
    </dataValidation>
    <dataValidation type="list" allowBlank="1" showErrorMessage="1" sqref="M2:M3">
      <formula1>$R$2:$R$5</formula1>
      <formula2>0</formula2>
    </dataValidation>
    <dataValidation type="list" allowBlank="1" showErrorMessage="1" sqref="M20:M147">
      <formula1>$R$2:$R$5</formula1>
      <formula2>0</formula2>
    </dataValidation>
    <dataValidation type="list" allowBlank="1" showErrorMessage="1" sqref="M9">
      <formula1>$R$2:$R$5</formula1>
      <formula2>0</formula2>
    </dataValidation>
  </dataValidations>
  <pageMargins left="0.7479166666666667" right="0.25" top="0.75" bottom="0.9840277777777777" header="0.5" footer="0.5"/>
  <pageSetup paperSize="9" orientation="landscape" horizontalDpi="300" verticalDpi="300" scale="100" fitToWidth="1" fitToHeight="1" firstPageNumber="0" copies="1"/>
  <headerFooter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 zoomScale="100" zoomScaleNormal="100">
      <selection activeCell="B2" sqref="B2"/>
    </sheetView>
  </sheetViews>
  <sheetFormatPr defaultRowHeight="13" outlineLevelRow="0" outlineLevelCol="0" x14ac:dyDescent="0" defaultColWidth="9" customHeight="1"/>
  <cols>
    <col min="1" max="1" width="4.5" style="8" customWidth="1"/>
    <col min="2" max="2" width="18.33203125" style="8" customWidth="1"/>
    <col min="3" max="3" width="19.33203125" style="8" customWidth="1"/>
    <col min="4" max="6" width="11.6640625" style="8" customWidth="1"/>
    <col min="7" max="7" width="9" style="8" customWidth="1"/>
    <col min="8" max="8" width="35.5" style="8" customWidth="1"/>
    <col min="9" max="9" width="33.1640625" style="8" customWidth="1"/>
    <col min="10" max="16384" width="9" style="8" customWidth="1"/>
  </cols>
  <sheetData>
    <row r="1" ht="25.5" customHeight="1" spans="2:8" x14ac:dyDescent="0.25">
      <c r="B1" s="58" t="s">
        <v>44</v>
      </c>
      <c r="C1" s="58"/>
      <c r="D1" s="58"/>
      <c r="E1" s="58"/>
      <c r="F1" s="58"/>
      <c r="G1" s="58"/>
      <c r="H1" s="58"/>
    </row>
    <row r="2" ht="14.25" customHeight="1" spans="1:8" x14ac:dyDescent="0.25">
      <c r="A2" s="59"/>
      <c r="B2" s="59"/>
      <c r="C2" s="8"/>
      <c r="D2" s="8"/>
      <c r="E2" s="8"/>
      <c r="F2" s="8"/>
      <c r="G2" s="8"/>
      <c r="H2" s="60"/>
    </row>
    <row r="3" ht="12" customHeight="1" spans="2:8" x14ac:dyDescent="0.25">
      <c r="B3" s="61" t="s">
        <v>1</v>
      </c>
      <c r="C3" s="45" t="s">
        <v>2</v>
      </c>
      <c r="D3" s="45"/>
      <c r="E3" s="62" t="s">
        <v>3</v>
      </c>
      <c r="F3" s="62"/>
      <c r="G3" s="63"/>
      <c r="H3" s="64"/>
    </row>
    <row r="4" ht="12" customHeight="1" spans="2:8" x14ac:dyDescent="0.25">
      <c r="B4" s="61" t="s">
        <v>4</v>
      </c>
      <c r="C4" s="45" t="s">
        <v>5</v>
      </c>
      <c r="D4" s="45"/>
      <c r="E4" s="62" t="s">
        <v>45</v>
      </c>
      <c r="F4" s="62"/>
      <c r="G4" s="63"/>
      <c r="H4" s="64"/>
    </row>
    <row r="5" ht="12" customHeight="1" spans="2:8" x14ac:dyDescent="0.25">
      <c r="B5" s="65" t="s">
        <v>8</v>
      </c>
      <c r="C5" s="45" t="str">
        <f>C4&amp;"_"&amp;"Test Report"&amp;"_"&amp;"vx.x"</f>
        <v>&lt;Project Code&gt;_Test Report_vx.x</v>
      </c>
      <c r="D5" s="45"/>
      <c r="E5" s="62" t="s">
        <v>6</v>
      </c>
      <c r="F5" s="62"/>
      <c r="G5" s="63"/>
      <c r="H5" s="66" t="s">
        <v>7</v>
      </c>
    </row>
    <row r="6" ht="21.75" customHeight="1" spans="1:8" x14ac:dyDescent="0.25">
      <c r="A6" s="59"/>
      <c r="B6" s="65" t="s">
        <v>46</v>
      </c>
      <c r="C6" s="67" t="s">
        <v>47</v>
      </c>
      <c r="D6" s="67"/>
      <c r="E6" s="67"/>
      <c r="F6" s="67"/>
      <c r="G6" s="67"/>
      <c r="H6" s="67"/>
    </row>
    <row r="7" ht="14.25" customHeight="1" spans="1:8" x14ac:dyDescent="0.25">
      <c r="A7" s="59"/>
      <c r="B7" s="68"/>
      <c r="C7" s="69"/>
      <c r="D7" s="8"/>
      <c r="E7" s="8"/>
      <c r="F7" s="8"/>
      <c r="G7" s="8"/>
      <c r="H7" s="60"/>
    </row>
    <row r="8" spans="2:8" x14ac:dyDescent="0.25">
      <c r="B8" s="68"/>
      <c r="C8" s="69"/>
      <c r="D8" s="8"/>
      <c r="E8" s="8"/>
      <c r="F8" s="8"/>
      <c r="G8" s="8"/>
      <c r="H8" s="60"/>
    </row>
    <row r="9" spans="1:8" x14ac:dyDescent="0.25">
      <c r="A9" s="8"/>
      <c r="B9" s="8"/>
      <c r="C9" s="8"/>
      <c r="D9" s="8"/>
      <c r="E9" s="8"/>
      <c r="F9" s="8"/>
      <c r="G9" s="8"/>
      <c r="H9" s="8"/>
    </row>
    <row r="10" ht="14" customHeight="1" spans="1:8" x14ac:dyDescent="0.25">
      <c r="A10" s="70"/>
      <c r="B10" s="71" t="s">
        <v>23</v>
      </c>
      <c r="C10" s="72" t="s">
        <v>48</v>
      </c>
      <c r="D10" s="73" t="s">
        <v>49</v>
      </c>
      <c r="E10" s="72" t="s">
        <v>50</v>
      </c>
      <c r="F10" s="72" t="s">
        <v>51</v>
      </c>
      <c r="G10" s="74" t="s">
        <v>52</v>
      </c>
      <c r="H10" s="75" t="s">
        <v>53</v>
      </c>
    </row>
    <row r="11" spans="1:8" x14ac:dyDescent="0.25">
      <c r="A11" s="70"/>
      <c r="B11" s="76">
        <v>1</v>
      </c>
      <c r="C11" s="77">
        <f>'Backend API'!B2</f>
      </c>
      <c r="D11" s="78">
        <f>'Backend API'!B6</f>
      </c>
      <c r="E11" s="78">
        <f>'Backend API'!C6</f>
      </c>
      <c r="F11" s="78">
        <f>'Backend API'!D6</f>
      </c>
      <c r="G11" s="78">
        <f>'Backend API'!E6</f>
      </c>
      <c r="H11" s="79">
        <f>'Backend API'!B4</f>
      </c>
    </row>
    <row r="12" spans="1:8" x14ac:dyDescent="0.25">
      <c r="A12" s="70"/>
      <c r="B12" s="76">
        <v>2</v>
      </c>
      <c r="C12" s="77">
        <f>'Mobile UI'!B2</f>
      </c>
      <c r="D12" s="78">
        <f>'Mobile UI'!B6</f>
      </c>
      <c r="E12" s="78">
        <f>'Mobile UI'!C6</f>
      </c>
      <c r="F12" s="78">
        <f>'Mobile UI'!D6</f>
      </c>
      <c r="G12" s="78">
        <f>'Mobile UI'!E6</f>
      </c>
      <c r="H12" s="78">
        <f>'Mobile UI'!B4</f>
      </c>
    </row>
    <row r="13" spans="1:8" x14ac:dyDescent="0.25">
      <c r="A13" s="70"/>
      <c r="B13" s="76"/>
      <c r="C13" s="77"/>
      <c r="D13" s="78"/>
      <c r="E13" s="78"/>
      <c r="F13" s="78"/>
      <c r="G13" s="80"/>
      <c r="H13" s="79"/>
    </row>
    <row r="14" spans="1:8" x14ac:dyDescent="0.25">
      <c r="A14" s="70"/>
      <c r="B14" s="81"/>
      <c r="C14" s="82" t="s">
        <v>54</v>
      </c>
      <c r="D14" s="83">
        <f>SUM(D9:D13)</f>
        <v>0</v>
      </c>
      <c r="E14" s="83">
        <f>SUM(E9:E13)</f>
        <v>0</v>
      </c>
      <c r="F14" s="83">
        <f>SUM(F9:F13)</f>
        <v>11</v>
      </c>
      <c r="G14" s="83">
        <f>SUM(G9:G13)</f>
        <v>0</v>
      </c>
      <c r="H14" s="84">
        <f>SUM(H9:H13)</f>
        <v>15</v>
      </c>
    </row>
    <row r="15" spans="1:8" x14ac:dyDescent="0.25">
      <c r="A15" s="8"/>
      <c r="B15" s="85"/>
      <c r="C15" s="8"/>
      <c r="D15" s="86"/>
      <c r="E15" s="87"/>
      <c r="F15" s="87"/>
      <c r="G15" s="87"/>
      <c r="H15" s="87"/>
    </row>
    <row r="16" spans="1:8" x14ac:dyDescent="0.25">
      <c r="A16" s="8"/>
      <c r="B16" s="8"/>
      <c r="C16" s="88" t="s">
        <v>55</v>
      </c>
      <c r="D16" s="8"/>
      <c r="E16" s="89">
        <f>(D14+E14)*100/(H14-G14)</f>
        <v>0</v>
      </c>
      <c r="F16" s="8" t="s">
        <v>56</v>
      </c>
      <c r="G16" s="8"/>
      <c r="H16" s="90"/>
    </row>
    <row r="17" spans="1:8" x14ac:dyDescent="0.25">
      <c r="A17" s="8"/>
      <c r="B17" s="8"/>
      <c r="C17" s="88" t="s">
        <v>57</v>
      </c>
      <c r="D17" s="8"/>
      <c r="E17" s="89">
        <f>D14*100/(H14-G14)</f>
        <v>0</v>
      </c>
      <c r="F17" s="8" t="s">
        <v>56</v>
      </c>
      <c r="G17" s="8"/>
      <c r="H17" s="90"/>
    </row>
    <row r="18" spans="3:4" x14ac:dyDescent="0.25">
      <c r="C18" s="8"/>
      <c r="D18" s="8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ageMargins left="0.7479166666666667" right="0.7479166666666667" top="0.9840277777777778" bottom="0.9840277777777777" header="0.5118055555555556" footer="0.5"/>
  <pageSetup orientation="landscape" horizontalDpi="300" verticalDpi="300" scale="100" fitToWidth="1" fitToHeight="1" firstPageNumber="0" copies="1"/>
  <headerFooter>
    <oddFooter>&amp;L&amp;"Tahoma,Regular"&amp;8 02ae-BM/PM/HDCV/FSOFT v2/0&amp;C&amp;"tahoma,Regular"&amp;8Internal use&amp;R&amp;"Tahoma,Regular"&amp;8&amp;P/&amp;N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27"/>
  <sheetViews>
    <sheetView workbookViewId="0" zoomScale="85" zoomScaleNormal="85">
      <pane ySplit="10" topLeftCell="A11" activePane="bottomLeft" state="frozen"/>
      <selection pane="bottomLeft" activeCell="D12" sqref="D12"/>
    </sheetView>
  </sheetViews>
  <sheetFormatPr defaultRowHeight="13" outlineLevelRow="1" outlineLevelCol="1" x14ac:dyDescent="0" defaultColWidth="9" customHeight="1"/>
  <cols>
    <col min="1" max="1" width="17" style="8" customWidth="1"/>
    <col min="2" max="2" width="34.5" style="8" customWidth="1"/>
    <col min="3" max="3" width="33.33203125" style="8" customWidth="1"/>
    <col min="4" max="4" width="34.6640625" style="8" customWidth="1"/>
    <col min="5" max="5" width="28.33203125" style="8" customWidth="1"/>
    <col min="6" max="6" width="9.33203125" style="8" customWidth="1"/>
    <col min="7" max="7" width="10.6640625" style="8" outlineLevel="1" collapsed="1" customWidth="1"/>
    <col min="8" max="8" width="7" style="8" outlineLevel="1" collapsed="1" customWidth="1"/>
    <col min="9" max="9" width="9.33203125" style="8" customWidth="1"/>
    <col min="10" max="10" width="10.6640625" style="8" outlineLevel="1" collapsed="1" customWidth="1"/>
    <col min="11" max="11" width="7" style="8" outlineLevel="1" collapsed="1" customWidth="1"/>
    <col min="12" max="12" width="9.33203125" style="8" customWidth="1"/>
    <col min="13" max="13" width="10.6640625" style="8" outlineLevel="1" collapsed="1" customWidth="1"/>
    <col min="14" max="14" width="7" style="8" outlineLevel="1" collapsed="1" customWidth="1"/>
    <col min="15" max="15" width="28.6640625" style="8" customWidth="1"/>
    <col min="16" max="16" width="10.1640625" style="8" customWidth="1"/>
    <col min="17" max="17" width="8.1640625" style="91" customWidth="1"/>
    <col min="18" max="18" width="7.6640625" style="8" hidden="1" customWidth="1"/>
    <col min="19" max="16384" width="9" style="8" customWidth="1"/>
  </cols>
  <sheetData>
    <row r="1" ht="14" customHeight="1" x14ac:dyDescent="0.25"/>
    <row r="2" ht="15" customHeight="1" spans="1:18" s="92" customFormat="1" x14ac:dyDescent="0.25">
      <c r="A2" s="93" t="s">
        <v>58</v>
      </c>
      <c r="B2" s="94" t="s">
        <v>223</v>
      </c>
      <c r="C2" s="94"/>
      <c r="D2" s="94"/>
      <c r="E2" s="95"/>
      <c r="F2" s="96"/>
      <c r="G2" s="97"/>
      <c r="H2" s="46"/>
      <c r="I2" s="96"/>
      <c r="J2" s="97"/>
      <c r="K2" s="46"/>
      <c r="L2" s="96"/>
      <c r="M2" s="97"/>
      <c r="N2" s="46"/>
      <c r="O2" s="46"/>
      <c r="P2" s="46"/>
      <c r="Q2" s="98"/>
      <c r="R2" s="92" t="s">
        <v>49</v>
      </c>
    </row>
    <row r="3" ht="14" customHeight="1" spans="1:18" s="92" customFormat="1" x14ac:dyDescent="0.25">
      <c r="A3" s="99" t="s">
        <v>60</v>
      </c>
      <c r="B3" s="100" t="s">
        <v>61</v>
      </c>
      <c r="C3" s="100"/>
      <c r="D3" s="100"/>
      <c r="E3" s="101"/>
      <c r="F3" s="96"/>
      <c r="G3" s="97"/>
      <c r="H3" s="46"/>
      <c r="I3" s="96"/>
      <c r="J3" s="97"/>
      <c r="K3" s="46"/>
      <c r="L3" s="96"/>
      <c r="M3" s="97"/>
      <c r="N3" s="46"/>
      <c r="O3" s="46"/>
      <c r="P3" s="46"/>
      <c r="Q3" s="98"/>
      <c r="R3" s="92" t="s">
        <v>50</v>
      </c>
    </row>
    <row r="4" ht="18" customHeight="1" spans="1:18" s="92" customFormat="1" x14ac:dyDescent="0.25">
      <c r="A4" s="99" t="s">
        <v>62</v>
      </c>
      <c r="B4" s="100">
        <f>COUNTA(B11:B1000)</f>
      </c>
      <c r="C4" s="100"/>
      <c r="D4" s="100"/>
      <c r="E4" s="101"/>
      <c r="F4" s="96"/>
      <c r="G4" s="97"/>
      <c r="H4" s="46"/>
      <c r="I4" s="96"/>
      <c r="J4" s="97"/>
      <c r="K4" s="46"/>
      <c r="L4" s="96"/>
      <c r="M4" s="97"/>
      <c r="N4" s="46"/>
      <c r="O4" s="46"/>
      <c r="P4" s="46"/>
      <c r="Q4" s="98"/>
      <c r="R4" s="92" t="s">
        <v>51</v>
      </c>
    </row>
    <row r="5" ht="19.5" customHeight="1" spans="1:18" s="92" customFormat="1" x14ac:dyDescent="0.25">
      <c r="A5" s="102" t="s">
        <v>63</v>
      </c>
      <c r="B5" s="103" t="s">
        <v>49</v>
      </c>
      <c r="C5" s="103" t="s">
        <v>50</v>
      </c>
      <c r="D5" s="103" t="s">
        <v>51</v>
      </c>
      <c r="E5" s="104" t="s">
        <v>52</v>
      </c>
      <c r="F5" s="105"/>
      <c r="G5" s="105"/>
      <c r="H5" s="106"/>
      <c r="I5" s="105"/>
      <c r="J5" s="105"/>
      <c r="K5" s="106"/>
      <c r="L5" s="105"/>
      <c r="M5" s="105"/>
      <c r="N5" s="106"/>
      <c r="O5" s="106"/>
      <c r="P5" s="106"/>
      <c r="Q5" s="107"/>
      <c r="R5" s="92" t="s">
        <v>52</v>
      </c>
    </row>
    <row r="6" ht="15" customHeight="1" spans="1:17" s="92" customFormat="1" x14ac:dyDescent="0.25">
      <c r="A6" s="102" t="s">
        <v>64</v>
      </c>
      <c r="B6" s="108">
        <f>COUNTIF($G10:$G998, B5)</f>
      </c>
      <c r="C6" s="108">
        <f>COUNTIF($G10:$G998, C5)</f>
      </c>
      <c r="D6" s="108">
        <f>COUNTIF($G10:$G998, D5)</f>
      </c>
      <c r="E6" s="109">
        <f>COUNTIF($G10:$G998, E5)</f>
      </c>
      <c r="F6" s="110"/>
      <c r="G6" s="110"/>
      <c r="H6" s="106"/>
      <c r="I6" s="110"/>
      <c r="J6" s="110"/>
      <c r="K6" s="106"/>
      <c r="L6" s="110"/>
      <c r="M6" s="110"/>
      <c r="N6" s="106"/>
      <c r="O6" s="106"/>
      <c r="P6" s="106"/>
      <c r="Q6" s="107"/>
    </row>
    <row r="7" ht="15" customHeight="1" spans="1:17" s="92" customFormat="1" x14ac:dyDescent="0.25">
      <c r="A7" s="102" t="s">
        <v>65</v>
      </c>
      <c r="B7" s="108">
        <f>COUNTIF($J10:$J998, B5)</f>
      </c>
      <c r="C7" s="108">
        <f>COUNTIF($J10:$J998, C5)</f>
      </c>
      <c r="D7" s="108">
        <f>COUNTIF($J10:$J998, D5)</f>
      </c>
      <c r="E7" s="109">
        <f>COUNTIF($J10:$J998, E5)</f>
      </c>
      <c r="F7" s="110"/>
      <c r="G7" s="110"/>
      <c r="H7" s="106"/>
      <c r="I7" s="110"/>
      <c r="J7" s="110"/>
      <c r="K7" s="106"/>
      <c r="L7" s="110"/>
      <c r="M7" s="110"/>
      <c r="N7" s="106"/>
      <c r="O7" s="106"/>
      <c r="P7" s="106"/>
      <c r="Q7" s="107"/>
    </row>
    <row r="8" ht="15" customHeight="1" spans="1:17" s="92" customFormat="1" x14ac:dyDescent="0.25">
      <c r="A8" s="111" t="s">
        <v>66</v>
      </c>
      <c r="B8" s="112">
        <f>COUNTIF($M10:$M998, B5)</f>
      </c>
      <c r="C8" s="112">
        <f>COUNTIF($M10:$M998, C5)</f>
      </c>
      <c r="D8" s="112">
        <f>COUNTIF($M10:$M998, D5)</f>
      </c>
      <c r="E8" s="113">
        <f>COUNTIF($M10:$M998, E5)</f>
      </c>
      <c r="F8" s="110"/>
      <c r="G8" s="110"/>
      <c r="H8" s="106"/>
      <c r="I8" s="110"/>
      <c r="J8" s="110"/>
      <c r="K8" s="106"/>
      <c r="L8" s="110"/>
      <c r="M8" s="110"/>
      <c r="N8" s="106"/>
      <c r="O8" s="106"/>
      <c r="P8" s="106"/>
      <c r="Q8" s="107"/>
    </row>
    <row r="9" ht="15" customHeight="1" spans="1:17" s="92" customFormat="1" x14ac:dyDescent="0.25">
      <c r="A9" s="106"/>
      <c r="B9" s="106"/>
      <c r="C9" s="106"/>
      <c r="D9" s="106"/>
      <c r="E9" s="106"/>
      <c r="F9" s="90"/>
      <c r="G9" s="106"/>
      <c r="H9" s="106"/>
      <c r="I9" s="90"/>
      <c r="J9" s="106"/>
      <c r="K9" s="106"/>
      <c r="L9" s="90"/>
      <c r="M9" s="106"/>
      <c r="N9" s="106"/>
      <c r="O9" s="106"/>
      <c r="P9" s="106"/>
      <c r="Q9" s="107"/>
    </row>
    <row r="10" ht="25.5" customHeight="1" spans="1:17" s="92" customFormat="1" x14ac:dyDescent="0.25">
      <c r="A10" s="114" t="s">
        <v>67</v>
      </c>
      <c r="B10" s="114" t="s">
        <v>68</v>
      </c>
      <c r="C10" s="114" t="s">
        <v>69</v>
      </c>
      <c r="D10" s="114" t="s">
        <v>70</v>
      </c>
      <c r="E10" s="114" t="s">
        <v>71</v>
      </c>
      <c r="F10" s="114" t="s">
        <v>64</v>
      </c>
      <c r="G10" s="114" t="s">
        <v>72</v>
      </c>
      <c r="H10" s="114" t="s">
        <v>73</v>
      </c>
      <c r="I10" s="114" t="s">
        <v>65</v>
      </c>
      <c r="J10" s="114" t="s">
        <v>72</v>
      </c>
      <c r="K10" s="114" t="s">
        <v>73</v>
      </c>
      <c r="L10" s="114" t="s">
        <v>66</v>
      </c>
      <c r="M10" s="114" t="s">
        <v>72</v>
      </c>
      <c r="N10" s="114" t="s">
        <v>73</v>
      </c>
      <c r="O10" s="114" t="s">
        <v>74</v>
      </c>
      <c r="Q10" s="115"/>
    </row>
    <row r="11" ht="15.75" customHeight="1" spans="1:16" s="92" customFormat="1" x14ac:dyDescent="0.25">
      <c r="A11" s="92"/>
      <c r="B11" s="116" t="s">
        <v>224</v>
      </c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</row>
    <row r="12" ht="121" customHeight="1" spans="2:7" s="118" customFormat="1" x14ac:dyDescent="0.25" outlineLevel="1" collapsed="1">
      <c r="B12" s="118" t="s">
        <v>225</v>
      </c>
      <c r="C12" s="118" t="s">
        <v>226</v>
      </c>
      <c r="D12" s="118" t="s">
        <v>227</v>
      </c>
      <c r="E12" s="118" t="s">
        <v>228</v>
      </c>
      <c r="F12" s="118" t="s">
        <v>229</v>
      </c>
      <c r="G12" s="118" t="s">
        <v>49</v>
      </c>
    </row>
    <row r="13" ht="14" customHeight="1" spans="2:7" x14ac:dyDescent="0.25" outlineLevel="1" collapsed="1">
      <c r="B13" s="8" t="s">
        <v>230</v>
      </c>
      <c r="C13" s="8" t="s">
        <v>231</v>
      </c>
      <c r="D13" s="8" t="s">
        <v>232</v>
      </c>
      <c r="E13" s="8" t="s">
        <v>233</v>
      </c>
      <c r="F13" s="8" t="s">
        <v>229</v>
      </c>
      <c r="G13" s="8" t="s">
        <v>49</v>
      </c>
    </row>
    <row r="14" ht="14" customHeight="1" spans="2:7" x14ac:dyDescent="0.25" outlineLevel="1" collapsed="1">
      <c r="B14" s="8" t="s">
        <v>234</v>
      </c>
      <c r="C14" s="8" t="s">
        <v>235</v>
      </c>
      <c r="D14" s="8" t="s">
        <v>236</v>
      </c>
      <c r="E14" s="8" t="s">
        <v>237</v>
      </c>
      <c r="F14" s="8" t="s">
        <v>229</v>
      </c>
      <c r="G14" s="8" t="s">
        <v>49</v>
      </c>
    </row>
    <row r="15" ht="15.75" customHeight="1" spans="1:16" s="92" customFormat="1" x14ac:dyDescent="0.25">
      <c r="A15" s="92"/>
      <c r="B15" s="116" t="s">
        <v>238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</row>
    <row r="16" ht="14" customHeight="1" spans="2:7" x14ac:dyDescent="0.25" outlineLevel="1" collapsed="1">
      <c r="B16" s="8" t="s">
        <v>239</v>
      </c>
      <c r="C16" s="8" t="s">
        <v>240</v>
      </c>
      <c r="D16" s="8" t="s">
        <v>241</v>
      </c>
      <c r="E16" s="8" t="s">
        <v>242</v>
      </c>
      <c r="F16" s="8" t="s">
        <v>243</v>
      </c>
      <c r="G16" s="8" t="s">
        <v>50</v>
      </c>
    </row>
    <row r="17" ht="14" customHeight="1" spans="1:16" x14ac:dyDescent="0.25" outlineLevel="1" collapsed="1">
      <c r="A17" s="8"/>
      <c r="B17" s="116" t="s">
        <v>244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</row>
    <row r="18" spans="2:7" x14ac:dyDescent="0.25">
      <c r="B18" s="8" t="s">
        <v>245</v>
      </c>
      <c r="C18" s="8" t="s">
        <v>246</v>
      </c>
      <c r="D18" s="8" t="s">
        <v>247</v>
      </c>
      <c r="E18" s="8" t="s">
        <v>248</v>
      </c>
      <c r="F18" s="8" t="s">
        <v>249</v>
      </c>
      <c r="G18" s="8" t="s">
        <v>49</v>
      </c>
    </row>
    <row r="19" spans="2:7" x14ac:dyDescent="0.25">
      <c r="B19" s="8" t="s">
        <v>250</v>
      </c>
      <c r="C19" s="8" t="s">
        <v>251</v>
      </c>
      <c r="D19" s="8" t="s">
        <v>252</v>
      </c>
      <c r="E19" s="8" t="s">
        <v>253</v>
      </c>
      <c r="F19" s="8" t="s">
        <v>249</v>
      </c>
      <c r="G19" s="8" t="s">
        <v>49</v>
      </c>
    </row>
    <row r="20" spans="2:7" x14ac:dyDescent="0.25">
      <c r="B20" s="8" t="s">
        <v>254</v>
      </c>
      <c r="C20" s="8" t="s">
        <v>255</v>
      </c>
      <c r="D20" s="8" t="s">
        <v>256</v>
      </c>
      <c r="E20" s="8" t="s">
        <v>257</v>
      </c>
      <c r="F20" s="8" t="s">
        <v>249</v>
      </c>
      <c r="G20" s="8" t="s">
        <v>49</v>
      </c>
    </row>
    <row r="21" spans="2:7" x14ac:dyDescent="0.25">
      <c r="B21" s="8" t="s">
        <v>258</v>
      </c>
      <c r="C21" s="8" t="s">
        <v>259</v>
      </c>
      <c r="D21" s="8" t="s">
        <v>260</v>
      </c>
      <c r="E21" s="8" t="s">
        <v>261</v>
      </c>
      <c r="F21" s="8" t="s">
        <v>249</v>
      </c>
      <c r="G21" s="8" t="s">
        <v>49</v>
      </c>
    </row>
    <row r="22" spans="1:16" x14ac:dyDescent="0.25">
      <c r="A22" s="8"/>
      <c r="B22" s="116" t="s">
        <v>262</v>
      </c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</row>
    <row r="23" spans="2:7" x14ac:dyDescent="0.25">
      <c r="B23" s="8" t="s">
        <v>263</v>
      </c>
      <c r="C23" s="8" t="s">
        <v>264</v>
      </c>
      <c r="D23" s="8" t="s">
        <v>265</v>
      </c>
      <c r="E23" s="8" t="s">
        <v>266</v>
      </c>
      <c r="F23" s="8" t="s">
        <v>249</v>
      </c>
      <c r="G23" s="8" t="s">
        <v>49</v>
      </c>
    </row>
    <row r="24" spans="2:7" x14ac:dyDescent="0.25">
      <c r="B24" s="8" t="s">
        <v>267</v>
      </c>
      <c r="C24" s="8" t="s">
        <v>268</v>
      </c>
      <c r="D24" s="8" t="s">
        <v>269</v>
      </c>
      <c r="E24" s="8" t="s">
        <v>270</v>
      </c>
      <c r="F24" s="8" t="s">
        <v>249</v>
      </c>
      <c r="G24" s="8" t="s">
        <v>49</v>
      </c>
    </row>
    <row r="25" spans="1:16" x14ac:dyDescent="0.25">
      <c r="A25" s="8"/>
      <c r="B25" s="116" t="s">
        <v>271</v>
      </c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</row>
    <row r="26" spans="2:7" x14ac:dyDescent="0.25">
      <c r="B26" s="8" t="s">
        <v>272</v>
      </c>
      <c r="C26" s="8" t="s">
        <v>273</v>
      </c>
      <c r="D26" s="8" t="s">
        <v>274</v>
      </c>
      <c r="E26" s="8" t="s">
        <v>275</v>
      </c>
      <c r="F26" s="8" t="s">
        <v>249</v>
      </c>
      <c r="G26" s="8" t="s">
        <v>49</v>
      </c>
    </row>
    <row r="27" spans="2:7" x14ac:dyDescent="0.25">
      <c r="B27" s="8" t="s">
        <v>276</v>
      </c>
      <c r="C27" s="8" t="s">
        <v>277</v>
      </c>
      <c r="D27" s="8" t="s">
        <v>278</v>
      </c>
      <c r="E27" s="8" t="s">
        <v>279</v>
      </c>
      <c r="F27" s="8" t="s">
        <v>249</v>
      </c>
      <c r="G27" s="8" t="s">
        <v>49</v>
      </c>
    </row>
  </sheetData>
  <mergeCells count="3">
    <mergeCell ref="B2:E2"/>
    <mergeCell ref="B3:E3"/>
    <mergeCell ref="B4:E4"/>
  </mergeCells>
  <dataValidations count="18">
    <dataValidation showErrorMessage="1" sqref="F10"/>
    <dataValidation type="list" allowBlank="1" showErrorMessage="1" sqref="F12:F17">
      <formula1>$R$2:$R$5</formula1>
      <formula2>0</formula2>
    </dataValidation>
    <dataValidation type="list" allowBlank="1" showErrorMessage="1" sqref="G100:G145">
      <formula1>$R$2:$R$5</formula1>
      <formula2>0</formula2>
    </dataValidation>
    <dataValidation type="list" allowBlank="1" showErrorMessage="1" sqref="G18:G145">
      <formula1>$R$2:$R$5</formula1>
      <formula2>0</formula2>
    </dataValidation>
    <dataValidation type="list" allowBlank="1" showErrorMessage="1" sqref="G2:G3">
      <formula1>$R$2:$R$5</formula1>
      <formula2>0</formula2>
    </dataValidation>
    <dataValidation type="list" allowBlank="1" showErrorMessage="1" sqref="G9">
      <formula1>$R$2:$R$5</formula1>
      <formula2>0</formula2>
    </dataValidation>
    <dataValidation showErrorMessage="1" sqref="I10"/>
    <dataValidation type="list" allowBlank="1" showErrorMessage="1" sqref="I12:I17">
      <formula1>$R$2:$R$5</formula1>
      <formula2>0</formula2>
    </dataValidation>
    <dataValidation type="list" allowBlank="1" showErrorMessage="1" sqref="J100:J145">
      <formula1>$R$2:$R$5</formula1>
      <formula2>0</formula2>
    </dataValidation>
    <dataValidation type="list" allowBlank="1" showErrorMessage="1" sqref="J18:J145">
      <formula1>$R$2:$R$5</formula1>
      <formula2>0</formula2>
    </dataValidation>
    <dataValidation type="list" allowBlank="1" showErrorMessage="1" sqref="J2:J3">
      <formula1>$R$2:$R$5</formula1>
      <formula2>0</formula2>
    </dataValidation>
    <dataValidation type="list" allowBlank="1" showErrorMessage="1" sqref="J9">
      <formula1>$R$2:$R$5</formula1>
      <formula2>0</formula2>
    </dataValidation>
    <dataValidation showErrorMessage="1" sqref="L10"/>
    <dataValidation type="list" allowBlank="1" showErrorMessage="1" sqref="L12:L17">
      <formula1>$R$2:$R$5</formula1>
      <formula2>0</formula2>
    </dataValidation>
    <dataValidation type="list" allowBlank="1" showErrorMessage="1" sqref="M100:M145">
      <formula1>$R$2:$R$5</formula1>
      <formula2>0</formula2>
    </dataValidation>
    <dataValidation type="list" allowBlank="1" showErrorMessage="1" sqref="M18:M145">
      <formula1>$R$2:$R$5</formula1>
      <formula2>0</formula2>
    </dataValidation>
    <dataValidation type="list" allowBlank="1" showErrorMessage="1" sqref="M2:M3">
      <formula1>$R$2:$R$5</formula1>
      <formula2>0</formula2>
    </dataValidation>
    <dataValidation type="list" allowBlank="1" showErrorMessage="1" sqref="M9">
      <formula1>$R$2:$R$5</formula1>
      <formula2>0</formula2>
    </dataValidation>
  </dataValidations>
  <pageMargins left="0.7479166666666667" right="0.25" top="0.75" bottom="0.9840277777777777" header="0.5" footer="0.5"/>
  <pageSetup paperSize="9" orientation="landscape" horizontalDpi="300" verticalDpi="300" scale="100" fitToWidth="1" fitToHeight="1" firstPageNumber="0" copies="1"/>
  <headerFooter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7"/>
  <sheetViews>
    <sheetView workbookViewId="0" showGridLines="0" zoomScale="100" zoomScaleNormal="100">
      <selection activeCell="B3" sqref="B3"/>
    </sheetView>
  </sheetViews>
  <sheetFormatPr defaultRowHeight="13" outlineLevelRow="0" outlineLevelCol="0" x14ac:dyDescent="0" defaultColWidth="9" customHeight="1"/>
  <cols>
    <col min="1" max="1" width="28.1640625" style="1" customWidth="1"/>
    <col min="2" max="2" width="10" style="2" customWidth="1"/>
    <col min="3" max="3" width="14.33203125" style="2" customWidth="1"/>
    <col min="4" max="4" width="8" style="2" customWidth="1"/>
    <col min="5" max="5" width="38" style="2" customWidth="1"/>
    <col min="6" max="6" width="48.1640625" style="2" customWidth="1"/>
    <col min="7" max="256" width="9" style="2" customWidth="1"/>
    <col min="257" max="257" width="28.1640625" style="2" customWidth="1"/>
    <col min="258" max="258" width="10" style="2" customWidth="1"/>
    <col min="259" max="259" width="14.33203125" style="2" customWidth="1"/>
    <col min="260" max="260" width="8" style="2" customWidth="1"/>
    <col min="261" max="261" width="38" style="2" customWidth="1"/>
    <col min="262" max="262" width="48.1640625" style="2" customWidth="1"/>
    <col min="263" max="512" width="9" style="2" customWidth="1"/>
    <col min="513" max="513" width="28.1640625" style="2" customWidth="1"/>
    <col min="514" max="514" width="10" style="2" customWidth="1"/>
    <col min="515" max="515" width="14.33203125" style="2" customWidth="1"/>
    <col min="516" max="516" width="8" style="2" customWidth="1"/>
    <col min="517" max="517" width="38" style="2" customWidth="1"/>
    <col min="518" max="518" width="48.1640625" style="2" customWidth="1"/>
    <col min="519" max="768" width="9" style="2" customWidth="1"/>
    <col min="769" max="769" width="28.1640625" style="2" customWidth="1"/>
    <col min="770" max="770" width="10" style="2" customWidth="1"/>
    <col min="771" max="771" width="14.33203125" style="2" customWidth="1"/>
    <col min="772" max="772" width="8" style="2" customWidth="1"/>
    <col min="773" max="773" width="38" style="2" customWidth="1"/>
    <col min="774" max="774" width="48.1640625" style="2" customWidth="1"/>
    <col min="775" max="1024" width="9" style="2" customWidth="1"/>
    <col min="1025" max="1025" width="28.1640625" style="2" customWidth="1"/>
    <col min="1026" max="1026" width="10" style="2" customWidth="1"/>
    <col min="1027" max="1027" width="14.33203125" style="2" customWidth="1"/>
    <col min="1028" max="1028" width="8" style="2" customWidth="1"/>
    <col min="1029" max="1029" width="38" style="2" customWidth="1"/>
    <col min="1030" max="1030" width="48.1640625" style="2" customWidth="1"/>
    <col min="1031" max="1280" width="9" style="2" customWidth="1"/>
    <col min="1281" max="1281" width="28.1640625" style="2" customWidth="1"/>
    <col min="1282" max="1282" width="10" style="2" customWidth="1"/>
    <col min="1283" max="1283" width="14.33203125" style="2" customWidth="1"/>
    <col min="1284" max="1284" width="8" style="2" customWidth="1"/>
    <col min="1285" max="1285" width="38" style="2" customWidth="1"/>
    <col min="1286" max="1286" width="48.1640625" style="2" customWidth="1"/>
    <col min="1287" max="1536" width="9" style="2" customWidth="1"/>
    <col min="1537" max="1537" width="28.1640625" style="2" customWidth="1"/>
    <col min="1538" max="1538" width="10" style="2" customWidth="1"/>
    <col min="1539" max="1539" width="14.33203125" style="2" customWidth="1"/>
    <col min="1540" max="1540" width="8" style="2" customWidth="1"/>
    <col min="1541" max="1541" width="38" style="2" customWidth="1"/>
    <col min="1542" max="1542" width="48.1640625" style="2" customWidth="1"/>
    <col min="1543" max="1792" width="9" style="2" customWidth="1"/>
    <col min="1793" max="1793" width="28.1640625" style="2" customWidth="1"/>
    <col min="1794" max="1794" width="10" style="2" customWidth="1"/>
    <col min="1795" max="1795" width="14.33203125" style="2" customWidth="1"/>
    <col min="1796" max="1796" width="8" style="2" customWidth="1"/>
    <col min="1797" max="1797" width="38" style="2" customWidth="1"/>
    <col min="1798" max="1798" width="48.1640625" style="2" customWidth="1"/>
    <col min="1799" max="2048" width="9" style="2" customWidth="1"/>
    <col min="2049" max="2049" width="28.1640625" style="2" customWidth="1"/>
    <col min="2050" max="2050" width="10" style="2" customWidth="1"/>
    <col min="2051" max="2051" width="14.33203125" style="2" customWidth="1"/>
    <col min="2052" max="2052" width="8" style="2" customWidth="1"/>
    <col min="2053" max="2053" width="38" style="2" customWidth="1"/>
    <col min="2054" max="2054" width="48.1640625" style="2" customWidth="1"/>
    <col min="2055" max="2304" width="9" style="2" customWidth="1"/>
    <col min="2305" max="2305" width="28.1640625" style="2" customWidth="1"/>
    <col min="2306" max="2306" width="10" style="2" customWidth="1"/>
    <col min="2307" max="2307" width="14.33203125" style="2" customWidth="1"/>
    <col min="2308" max="2308" width="8" style="2" customWidth="1"/>
    <col min="2309" max="2309" width="38" style="2" customWidth="1"/>
    <col min="2310" max="2310" width="48.1640625" style="2" customWidth="1"/>
    <col min="2311" max="2560" width="9" style="2" customWidth="1"/>
    <col min="2561" max="2561" width="28.1640625" style="2" customWidth="1"/>
    <col min="2562" max="2562" width="10" style="2" customWidth="1"/>
    <col min="2563" max="2563" width="14.33203125" style="2" customWidth="1"/>
    <col min="2564" max="2564" width="8" style="2" customWidth="1"/>
    <col min="2565" max="2565" width="38" style="2" customWidth="1"/>
    <col min="2566" max="2566" width="48.1640625" style="2" customWidth="1"/>
    <col min="2567" max="2816" width="9" style="2" customWidth="1"/>
    <col min="2817" max="2817" width="28.1640625" style="2" customWidth="1"/>
    <col min="2818" max="2818" width="10" style="2" customWidth="1"/>
    <col min="2819" max="2819" width="14.33203125" style="2" customWidth="1"/>
    <col min="2820" max="2820" width="8" style="2" customWidth="1"/>
    <col min="2821" max="2821" width="38" style="2" customWidth="1"/>
    <col min="2822" max="2822" width="48.1640625" style="2" customWidth="1"/>
    <col min="2823" max="3072" width="9" style="2" customWidth="1"/>
    <col min="3073" max="3073" width="28.1640625" style="2" customWidth="1"/>
    <col min="3074" max="3074" width="10" style="2" customWidth="1"/>
    <col min="3075" max="3075" width="14.33203125" style="2" customWidth="1"/>
    <col min="3076" max="3076" width="8" style="2" customWidth="1"/>
    <col min="3077" max="3077" width="38" style="2" customWidth="1"/>
    <col min="3078" max="3078" width="48.1640625" style="2" customWidth="1"/>
    <col min="3079" max="3328" width="9" style="2" customWidth="1"/>
    <col min="3329" max="3329" width="28.1640625" style="2" customWidth="1"/>
    <col min="3330" max="3330" width="10" style="2" customWidth="1"/>
    <col min="3331" max="3331" width="14.33203125" style="2" customWidth="1"/>
    <col min="3332" max="3332" width="8" style="2" customWidth="1"/>
    <col min="3333" max="3333" width="38" style="2" customWidth="1"/>
    <col min="3334" max="3334" width="48.1640625" style="2" customWidth="1"/>
    <col min="3335" max="3584" width="9" style="2" customWidth="1"/>
    <col min="3585" max="3585" width="28.1640625" style="2" customWidth="1"/>
    <col min="3586" max="3586" width="10" style="2" customWidth="1"/>
    <col min="3587" max="3587" width="14.33203125" style="2" customWidth="1"/>
    <col min="3588" max="3588" width="8" style="2" customWidth="1"/>
    <col min="3589" max="3589" width="38" style="2" customWidth="1"/>
    <col min="3590" max="3590" width="48.1640625" style="2" customWidth="1"/>
    <col min="3591" max="3840" width="9" style="2" customWidth="1"/>
    <col min="3841" max="3841" width="28.1640625" style="2" customWidth="1"/>
    <col min="3842" max="3842" width="10" style="2" customWidth="1"/>
    <col min="3843" max="3843" width="14.33203125" style="2" customWidth="1"/>
    <col min="3844" max="3844" width="8" style="2" customWidth="1"/>
    <col min="3845" max="3845" width="38" style="2" customWidth="1"/>
    <col min="3846" max="3846" width="48.1640625" style="2" customWidth="1"/>
    <col min="3847" max="4096" width="9" style="2" customWidth="1"/>
    <col min="4097" max="4097" width="28.1640625" style="2" customWidth="1"/>
    <col min="4098" max="4098" width="10" style="2" customWidth="1"/>
    <col min="4099" max="4099" width="14.33203125" style="2" customWidth="1"/>
    <col min="4100" max="4100" width="8" style="2" customWidth="1"/>
    <col min="4101" max="4101" width="38" style="2" customWidth="1"/>
    <col min="4102" max="4102" width="48.1640625" style="2" customWidth="1"/>
    <col min="4103" max="4352" width="9" style="2" customWidth="1"/>
    <col min="4353" max="4353" width="28.1640625" style="2" customWidth="1"/>
    <col min="4354" max="4354" width="10" style="2" customWidth="1"/>
    <col min="4355" max="4355" width="14.33203125" style="2" customWidth="1"/>
    <col min="4356" max="4356" width="8" style="2" customWidth="1"/>
    <col min="4357" max="4357" width="38" style="2" customWidth="1"/>
    <col min="4358" max="4358" width="48.1640625" style="2" customWidth="1"/>
    <col min="4359" max="4608" width="9" style="2" customWidth="1"/>
    <col min="4609" max="4609" width="28.1640625" style="2" customWidth="1"/>
    <col min="4610" max="4610" width="10" style="2" customWidth="1"/>
    <col min="4611" max="4611" width="14.33203125" style="2" customWidth="1"/>
    <col min="4612" max="4612" width="8" style="2" customWidth="1"/>
    <col min="4613" max="4613" width="38" style="2" customWidth="1"/>
    <col min="4614" max="4614" width="48.1640625" style="2" customWidth="1"/>
    <col min="4615" max="4864" width="9" style="2" customWidth="1"/>
    <col min="4865" max="4865" width="28.1640625" style="2" customWidth="1"/>
    <col min="4866" max="4866" width="10" style="2" customWidth="1"/>
    <col min="4867" max="4867" width="14.33203125" style="2" customWidth="1"/>
    <col min="4868" max="4868" width="8" style="2" customWidth="1"/>
    <col min="4869" max="4869" width="38" style="2" customWidth="1"/>
    <col min="4870" max="4870" width="48.1640625" style="2" customWidth="1"/>
    <col min="4871" max="5120" width="9" style="2" customWidth="1"/>
    <col min="5121" max="5121" width="28.1640625" style="2" customWidth="1"/>
    <col min="5122" max="5122" width="10" style="2" customWidth="1"/>
    <col min="5123" max="5123" width="14.33203125" style="2" customWidth="1"/>
    <col min="5124" max="5124" width="8" style="2" customWidth="1"/>
    <col min="5125" max="5125" width="38" style="2" customWidth="1"/>
    <col min="5126" max="5126" width="48.1640625" style="2" customWidth="1"/>
    <col min="5127" max="5376" width="9" style="2" customWidth="1"/>
    <col min="5377" max="5377" width="28.1640625" style="2" customWidth="1"/>
    <col min="5378" max="5378" width="10" style="2" customWidth="1"/>
    <col min="5379" max="5379" width="14.33203125" style="2" customWidth="1"/>
    <col min="5380" max="5380" width="8" style="2" customWidth="1"/>
    <col min="5381" max="5381" width="38" style="2" customWidth="1"/>
    <col min="5382" max="5382" width="48.1640625" style="2" customWidth="1"/>
    <col min="5383" max="5632" width="9" style="2" customWidth="1"/>
    <col min="5633" max="5633" width="28.1640625" style="2" customWidth="1"/>
    <col min="5634" max="5634" width="10" style="2" customWidth="1"/>
    <col min="5635" max="5635" width="14.33203125" style="2" customWidth="1"/>
    <col min="5636" max="5636" width="8" style="2" customWidth="1"/>
    <col min="5637" max="5637" width="38" style="2" customWidth="1"/>
    <col min="5638" max="5638" width="48.1640625" style="2" customWidth="1"/>
    <col min="5639" max="5888" width="9" style="2" customWidth="1"/>
    <col min="5889" max="5889" width="28.1640625" style="2" customWidth="1"/>
    <col min="5890" max="5890" width="10" style="2" customWidth="1"/>
    <col min="5891" max="5891" width="14.33203125" style="2" customWidth="1"/>
    <col min="5892" max="5892" width="8" style="2" customWidth="1"/>
    <col min="5893" max="5893" width="38" style="2" customWidth="1"/>
    <col min="5894" max="5894" width="48.1640625" style="2" customWidth="1"/>
    <col min="5895" max="6144" width="9" style="2" customWidth="1"/>
    <col min="6145" max="6145" width="28.1640625" style="2" customWidth="1"/>
    <col min="6146" max="6146" width="10" style="2" customWidth="1"/>
    <col min="6147" max="6147" width="14.33203125" style="2" customWidth="1"/>
    <col min="6148" max="6148" width="8" style="2" customWidth="1"/>
    <col min="6149" max="6149" width="38" style="2" customWidth="1"/>
    <col min="6150" max="6150" width="48.1640625" style="2" customWidth="1"/>
    <col min="6151" max="6400" width="9" style="2" customWidth="1"/>
    <col min="6401" max="6401" width="28.1640625" style="2" customWidth="1"/>
    <col min="6402" max="6402" width="10" style="2" customWidth="1"/>
    <col min="6403" max="6403" width="14.33203125" style="2" customWidth="1"/>
    <col min="6404" max="6404" width="8" style="2" customWidth="1"/>
    <col min="6405" max="6405" width="38" style="2" customWidth="1"/>
    <col min="6406" max="6406" width="48.1640625" style="2" customWidth="1"/>
    <col min="6407" max="6656" width="9" style="2" customWidth="1"/>
    <col min="6657" max="6657" width="28.1640625" style="2" customWidth="1"/>
    <col min="6658" max="6658" width="10" style="2" customWidth="1"/>
    <col min="6659" max="6659" width="14.33203125" style="2" customWidth="1"/>
    <col min="6660" max="6660" width="8" style="2" customWidth="1"/>
    <col min="6661" max="6661" width="38" style="2" customWidth="1"/>
    <col min="6662" max="6662" width="48.1640625" style="2" customWidth="1"/>
    <col min="6663" max="6912" width="9" style="2" customWidth="1"/>
    <col min="6913" max="6913" width="28.1640625" style="2" customWidth="1"/>
    <col min="6914" max="6914" width="10" style="2" customWidth="1"/>
    <col min="6915" max="6915" width="14.33203125" style="2" customWidth="1"/>
    <col min="6916" max="6916" width="8" style="2" customWidth="1"/>
    <col min="6917" max="6917" width="38" style="2" customWidth="1"/>
    <col min="6918" max="6918" width="48.1640625" style="2" customWidth="1"/>
    <col min="6919" max="7168" width="9" style="2" customWidth="1"/>
    <col min="7169" max="7169" width="28.1640625" style="2" customWidth="1"/>
    <col min="7170" max="7170" width="10" style="2" customWidth="1"/>
    <col min="7171" max="7171" width="14.33203125" style="2" customWidth="1"/>
    <col min="7172" max="7172" width="8" style="2" customWidth="1"/>
    <col min="7173" max="7173" width="38" style="2" customWidth="1"/>
    <col min="7174" max="7174" width="48.1640625" style="2" customWidth="1"/>
    <col min="7175" max="7424" width="9" style="2" customWidth="1"/>
    <col min="7425" max="7425" width="28.1640625" style="2" customWidth="1"/>
    <col min="7426" max="7426" width="10" style="2" customWidth="1"/>
    <col min="7427" max="7427" width="14.33203125" style="2" customWidth="1"/>
    <col min="7428" max="7428" width="8" style="2" customWidth="1"/>
    <col min="7429" max="7429" width="38" style="2" customWidth="1"/>
    <col min="7430" max="7430" width="48.1640625" style="2" customWidth="1"/>
    <col min="7431" max="7680" width="9" style="2" customWidth="1"/>
    <col min="7681" max="7681" width="28.1640625" style="2" customWidth="1"/>
    <col min="7682" max="7682" width="10" style="2" customWidth="1"/>
    <col min="7683" max="7683" width="14.33203125" style="2" customWidth="1"/>
    <col min="7684" max="7684" width="8" style="2" customWidth="1"/>
    <col min="7685" max="7685" width="38" style="2" customWidth="1"/>
    <col min="7686" max="7686" width="48.1640625" style="2" customWidth="1"/>
    <col min="7687" max="7936" width="9" style="2" customWidth="1"/>
    <col min="7937" max="7937" width="28.1640625" style="2" customWidth="1"/>
    <col min="7938" max="7938" width="10" style="2" customWidth="1"/>
    <col min="7939" max="7939" width="14.33203125" style="2" customWidth="1"/>
    <col min="7940" max="7940" width="8" style="2" customWidth="1"/>
    <col min="7941" max="7941" width="38" style="2" customWidth="1"/>
    <col min="7942" max="7942" width="48.1640625" style="2" customWidth="1"/>
    <col min="7943" max="8192" width="9" style="2" customWidth="1"/>
    <col min="8193" max="8193" width="28.1640625" style="2" customWidth="1"/>
    <col min="8194" max="8194" width="10" style="2" customWidth="1"/>
    <col min="8195" max="8195" width="14.33203125" style="2" customWidth="1"/>
    <col min="8196" max="8196" width="8" style="2" customWidth="1"/>
    <col min="8197" max="8197" width="38" style="2" customWidth="1"/>
    <col min="8198" max="8198" width="48.1640625" style="2" customWidth="1"/>
    <col min="8199" max="8448" width="9" style="2" customWidth="1"/>
    <col min="8449" max="8449" width="28.1640625" style="2" customWidth="1"/>
    <col min="8450" max="8450" width="10" style="2" customWidth="1"/>
    <col min="8451" max="8451" width="14.33203125" style="2" customWidth="1"/>
    <col min="8452" max="8452" width="8" style="2" customWidth="1"/>
    <col min="8453" max="8453" width="38" style="2" customWidth="1"/>
    <col min="8454" max="8454" width="48.1640625" style="2" customWidth="1"/>
    <col min="8455" max="8704" width="9" style="2" customWidth="1"/>
    <col min="8705" max="8705" width="28.1640625" style="2" customWidth="1"/>
    <col min="8706" max="8706" width="10" style="2" customWidth="1"/>
    <col min="8707" max="8707" width="14.33203125" style="2" customWidth="1"/>
    <col min="8708" max="8708" width="8" style="2" customWidth="1"/>
    <col min="8709" max="8709" width="38" style="2" customWidth="1"/>
    <col min="8710" max="8710" width="48.1640625" style="2" customWidth="1"/>
    <col min="8711" max="8960" width="9" style="2" customWidth="1"/>
    <col min="8961" max="8961" width="28.1640625" style="2" customWidth="1"/>
    <col min="8962" max="8962" width="10" style="2" customWidth="1"/>
    <col min="8963" max="8963" width="14.33203125" style="2" customWidth="1"/>
    <col min="8964" max="8964" width="8" style="2" customWidth="1"/>
    <col min="8965" max="8965" width="38" style="2" customWidth="1"/>
    <col min="8966" max="8966" width="48.1640625" style="2" customWidth="1"/>
    <col min="8967" max="9216" width="9" style="2" customWidth="1"/>
    <col min="9217" max="9217" width="28.1640625" style="2" customWidth="1"/>
    <col min="9218" max="9218" width="10" style="2" customWidth="1"/>
    <col min="9219" max="9219" width="14.33203125" style="2" customWidth="1"/>
    <col min="9220" max="9220" width="8" style="2" customWidth="1"/>
    <col min="9221" max="9221" width="38" style="2" customWidth="1"/>
    <col min="9222" max="9222" width="48.1640625" style="2" customWidth="1"/>
    <col min="9223" max="9472" width="9" style="2" customWidth="1"/>
    <col min="9473" max="9473" width="28.1640625" style="2" customWidth="1"/>
    <col min="9474" max="9474" width="10" style="2" customWidth="1"/>
    <col min="9475" max="9475" width="14.33203125" style="2" customWidth="1"/>
    <col min="9476" max="9476" width="8" style="2" customWidth="1"/>
    <col min="9477" max="9477" width="38" style="2" customWidth="1"/>
    <col min="9478" max="9478" width="48.1640625" style="2" customWidth="1"/>
    <col min="9479" max="9728" width="9" style="2" customWidth="1"/>
    <col min="9729" max="9729" width="28.1640625" style="2" customWidth="1"/>
    <col min="9730" max="9730" width="10" style="2" customWidth="1"/>
    <col min="9731" max="9731" width="14.33203125" style="2" customWidth="1"/>
    <col min="9732" max="9732" width="8" style="2" customWidth="1"/>
    <col min="9733" max="9733" width="38" style="2" customWidth="1"/>
    <col min="9734" max="9734" width="48.1640625" style="2" customWidth="1"/>
    <col min="9735" max="9984" width="9" style="2" customWidth="1"/>
    <col min="9985" max="9985" width="28.1640625" style="2" customWidth="1"/>
    <col min="9986" max="9986" width="10" style="2" customWidth="1"/>
    <col min="9987" max="9987" width="14.33203125" style="2" customWidth="1"/>
    <col min="9988" max="9988" width="8" style="2" customWidth="1"/>
    <col min="9989" max="9989" width="38" style="2" customWidth="1"/>
    <col min="9990" max="9990" width="48.1640625" style="2" customWidth="1"/>
    <col min="9991" max="10240" width="9" style="2" customWidth="1"/>
    <col min="10241" max="10241" width="28.1640625" style="2" customWidth="1"/>
    <col min="10242" max="10242" width="10" style="2" customWidth="1"/>
    <col min="10243" max="10243" width="14.33203125" style="2" customWidth="1"/>
    <col min="10244" max="10244" width="8" style="2" customWidth="1"/>
    <col min="10245" max="10245" width="38" style="2" customWidth="1"/>
    <col min="10246" max="10246" width="48.1640625" style="2" customWidth="1"/>
    <col min="10247" max="10496" width="9" style="2" customWidth="1"/>
    <col min="10497" max="10497" width="28.1640625" style="2" customWidth="1"/>
    <col min="10498" max="10498" width="10" style="2" customWidth="1"/>
    <col min="10499" max="10499" width="14.33203125" style="2" customWidth="1"/>
    <col min="10500" max="10500" width="8" style="2" customWidth="1"/>
    <col min="10501" max="10501" width="38" style="2" customWidth="1"/>
    <col min="10502" max="10502" width="48.1640625" style="2" customWidth="1"/>
    <col min="10503" max="10752" width="9" style="2" customWidth="1"/>
    <col min="10753" max="10753" width="28.1640625" style="2" customWidth="1"/>
    <col min="10754" max="10754" width="10" style="2" customWidth="1"/>
    <col min="10755" max="10755" width="14.33203125" style="2" customWidth="1"/>
    <col min="10756" max="10756" width="8" style="2" customWidth="1"/>
    <col min="10757" max="10757" width="38" style="2" customWidth="1"/>
    <col min="10758" max="10758" width="48.1640625" style="2" customWidth="1"/>
    <col min="10759" max="11008" width="9" style="2" customWidth="1"/>
    <col min="11009" max="11009" width="28.1640625" style="2" customWidth="1"/>
    <col min="11010" max="11010" width="10" style="2" customWidth="1"/>
    <col min="11011" max="11011" width="14.33203125" style="2" customWidth="1"/>
    <col min="11012" max="11012" width="8" style="2" customWidth="1"/>
    <col min="11013" max="11013" width="38" style="2" customWidth="1"/>
    <col min="11014" max="11014" width="48.1640625" style="2" customWidth="1"/>
    <col min="11015" max="11264" width="9" style="2" customWidth="1"/>
    <col min="11265" max="11265" width="28.1640625" style="2" customWidth="1"/>
    <col min="11266" max="11266" width="10" style="2" customWidth="1"/>
    <col min="11267" max="11267" width="14.33203125" style="2" customWidth="1"/>
    <col min="11268" max="11268" width="8" style="2" customWidth="1"/>
    <col min="11269" max="11269" width="38" style="2" customWidth="1"/>
    <col min="11270" max="11270" width="48.1640625" style="2" customWidth="1"/>
    <col min="11271" max="11520" width="9" style="2" customWidth="1"/>
    <col min="11521" max="11521" width="28.1640625" style="2" customWidth="1"/>
    <col min="11522" max="11522" width="10" style="2" customWidth="1"/>
    <col min="11523" max="11523" width="14.33203125" style="2" customWidth="1"/>
    <col min="11524" max="11524" width="8" style="2" customWidth="1"/>
    <col min="11525" max="11525" width="38" style="2" customWidth="1"/>
    <col min="11526" max="11526" width="48.1640625" style="2" customWidth="1"/>
    <col min="11527" max="11776" width="9" style="2" customWidth="1"/>
    <col min="11777" max="11777" width="28.1640625" style="2" customWidth="1"/>
    <col min="11778" max="11778" width="10" style="2" customWidth="1"/>
    <col min="11779" max="11779" width="14.33203125" style="2" customWidth="1"/>
    <col min="11780" max="11780" width="8" style="2" customWidth="1"/>
    <col min="11781" max="11781" width="38" style="2" customWidth="1"/>
    <col min="11782" max="11782" width="48.1640625" style="2" customWidth="1"/>
    <col min="11783" max="12032" width="9" style="2" customWidth="1"/>
    <col min="12033" max="12033" width="28.1640625" style="2" customWidth="1"/>
    <col min="12034" max="12034" width="10" style="2" customWidth="1"/>
    <col min="12035" max="12035" width="14.33203125" style="2" customWidth="1"/>
    <col min="12036" max="12036" width="8" style="2" customWidth="1"/>
    <col min="12037" max="12037" width="38" style="2" customWidth="1"/>
    <col min="12038" max="12038" width="48.1640625" style="2" customWidth="1"/>
    <col min="12039" max="12288" width="9" style="2" customWidth="1"/>
    <col min="12289" max="12289" width="28.1640625" style="2" customWidth="1"/>
    <col min="12290" max="12290" width="10" style="2" customWidth="1"/>
    <col min="12291" max="12291" width="14.33203125" style="2" customWidth="1"/>
    <col min="12292" max="12292" width="8" style="2" customWidth="1"/>
    <col min="12293" max="12293" width="38" style="2" customWidth="1"/>
    <col min="12294" max="12294" width="48.1640625" style="2" customWidth="1"/>
    <col min="12295" max="12544" width="9" style="2" customWidth="1"/>
    <col min="12545" max="12545" width="28.1640625" style="2" customWidth="1"/>
    <col min="12546" max="12546" width="10" style="2" customWidth="1"/>
    <col min="12547" max="12547" width="14.33203125" style="2" customWidth="1"/>
    <col min="12548" max="12548" width="8" style="2" customWidth="1"/>
    <col min="12549" max="12549" width="38" style="2" customWidth="1"/>
    <col min="12550" max="12550" width="48.1640625" style="2" customWidth="1"/>
    <col min="12551" max="12800" width="9" style="2" customWidth="1"/>
    <col min="12801" max="12801" width="28.1640625" style="2" customWidth="1"/>
    <col min="12802" max="12802" width="10" style="2" customWidth="1"/>
    <col min="12803" max="12803" width="14.33203125" style="2" customWidth="1"/>
    <col min="12804" max="12804" width="8" style="2" customWidth="1"/>
    <col min="12805" max="12805" width="38" style="2" customWidth="1"/>
    <col min="12806" max="12806" width="48.1640625" style="2" customWidth="1"/>
    <col min="12807" max="13056" width="9" style="2" customWidth="1"/>
    <col min="13057" max="13057" width="28.1640625" style="2" customWidth="1"/>
    <col min="13058" max="13058" width="10" style="2" customWidth="1"/>
    <col min="13059" max="13059" width="14.33203125" style="2" customWidth="1"/>
    <col min="13060" max="13060" width="8" style="2" customWidth="1"/>
    <col min="13061" max="13061" width="38" style="2" customWidth="1"/>
    <col min="13062" max="13062" width="48.1640625" style="2" customWidth="1"/>
    <col min="13063" max="13312" width="9" style="2" customWidth="1"/>
    <col min="13313" max="13313" width="28.1640625" style="2" customWidth="1"/>
    <col min="13314" max="13314" width="10" style="2" customWidth="1"/>
    <col min="13315" max="13315" width="14.33203125" style="2" customWidth="1"/>
    <col min="13316" max="13316" width="8" style="2" customWidth="1"/>
    <col min="13317" max="13317" width="38" style="2" customWidth="1"/>
    <col min="13318" max="13318" width="48.1640625" style="2" customWidth="1"/>
    <col min="13319" max="13568" width="9" style="2" customWidth="1"/>
    <col min="13569" max="13569" width="28.1640625" style="2" customWidth="1"/>
    <col min="13570" max="13570" width="10" style="2" customWidth="1"/>
    <col min="13571" max="13571" width="14.33203125" style="2" customWidth="1"/>
    <col min="13572" max="13572" width="8" style="2" customWidth="1"/>
    <col min="13573" max="13573" width="38" style="2" customWidth="1"/>
    <col min="13574" max="13574" width="48.1640625" style="2" customWidth="1"/>
    <col min="13575" max="13824" width="9" style="2" customWidth="1"/>
    <col min="13825" max="13825" width="28.1640625" style="2" customWidth="1"/>
    <col min="13826" max="13826" width="10" style="2" customWidth="1"/>
    <col min="13827" max="13827" width="14.33203125" style="2" customWidth="1"/>
    <col min="13828" max="13828" width="8" style="2" customWidth="1"/>
    <col min="13829" max="13829" width="38" style="2" customWidth="1"/>
    <col min="13830" max="13830" width="48.1640625" style="2" customWidth="1"/>
    <col min="13831" max="14080" width="9" style="2" customWidth="1"/>
    <col min="14081" max="14081" width="28.1640625" style="2" customWidth="1"/>
    <col min="14082" max="14082" width="10" style="2" customWidth="1"/>
    <col min="14083" max="14083" width="14.33203125" style="2" customWidth="1"/>
    <col min="14084" max="14084" width="8" style="2" customWidth="1"/>
    <col min="14085" max="14085" width="38" style="2" customWidth="1"/>
    <col min="14086" max="14086" width="48.1640625" style="2" customWidth="1"/>
    <col min="14087" max="14336" width="9" style="2" customWidth="1"/>
    <col min="14337" max="14337" width="28.1640625" style="2" customWidth="1"/>
    <col min="14338" max="14338" width="10" style="2" customWidth="1"/>
    <col min="14339" max="14339" width="14.33203125" style="2" customWidth="1"/>
    <col min="14340" max="14340" width="8" style="2" customWidth="1"/>
    <col min="14341" max="14341" width="38" style="2" customWidth="1"/>
    <col min="14342" max="14342" width="48.1640625" style="2" customWidth="1"/>
    <col min="14343" max="14592" width="9" style="2" customWidth="1"/>
    <col min="14593" max="14593" width="28.1640625" style="2" customWidth="1"/>
    <col min="14594" max="14594" width="10" style="2" customWidth="1"/>
    <col min="14595" max="14595" width="14.33203125" style="2" customWidth="1"/>
    <col min="14596" max="14596" width="8" style="2" customWidth="1"/>
    <col min="14597" max="14597" width="38" style="2" customWidth="1"/>
    <col min="14598" max="14598" width="48.1640625" style="2" customWidth="1"/>
    <col min="14599" max="14848" width="9" style="2" customWidth="1"/>
    <col min="14849" max="14849" width="28.1640625" style="2" customWidth="1"/>
    <col min="14850" max="14850" width="10" style="2" customWidth="1"/>
    <col min="14851" max="14851" width="14.33203125" style="2" customWidth="1"/>
    <col min="14852" max="14852" width="8" style="2" customWidth="1"/>
    <col min="14853" max="14853" width="38" style="2" customWidth="1"/>
    <col min="14854" max="14854" width="48.1640625" style="2" customWidth="1"/>
    <col min="14855" max="15104" width="9" style="2" customWidth="1"/>
    <col min="15105" max="15105" width="28.1640625" style="2" customWidth="1"/>
    <col min="15106" max="15106" width="10" style="2" customWidth="1"/>
    <col min="15107" max="15107" width="14.33203125" style="2" customWidth="1"/>
    <col min="15108" max="15108" width="8" style="2" customWidth="1"/>
    <col min="15109" max="15109" width="38" style="2" customWidth="1"/>
    <col min="15110" max="15110" width="48.1640625" style="2" customWidth="1"/>
    <col min="15111" max="15360" width="9" style="2" customWidth="1"/>
    <col min="15361" max="15361" width="28.1640625" style="2" customWidth="1"/>
    <col min="15362" max="15362" width="10" style="2" customWidth="1"/>
    <col min="15363" max="15363" width="14.33203125" style="2" customWidth="1"/>
    <col min="15364" max="15364" width="8" style="2" customWidth="1"/>
    <col min="15365" max="15365" width="38" style="2" customWidth="1"/>
    <col min="15366" max="15366" width="48.1640625" style="2" customWidth="1"/>
    <col min="15367" max="15616" width="9" style="2" customWidth="1"/>
    <col min="15617" max="15617" width="28.1640625" style="2" customWidth="1"/>
    <col min="15618" max="15618" width="10" style="2" customWidth="1"/>
    <col min="15619" max="15619" width="14.33203125" style="2" customWidth="1"/>
    <col min="15620" max="15620" width="8" style="2" customWidth="1"/>
    <col min="15621" max="15621" width="38" style="2" customWidth="1"/>
    <col min="15622" max="15622" width="48.1640625" style="2" customWidth="1"/>
    <col min="15623" max="15872" width="9" style="2" customWidth="1"/>
    <col min="15873" max="15873" width="28.1640625" style="2" customWidth="1"/>
    <col min="15874" max="15874" width="10" style="2" customWidth="1"/>
    <col min="15875" max="15875" width="14.33203125" style="2" customWidth="1"/>
    <col min="15876" max="15876" width="8" style="2" customWidth="1"/>
    <col min="15877" max="15877" width="38" style="2" customWidth="1"/>
    <col min="15878" max="15878" width="48.1640625" style="2" customWidth="1"/>
    <col min="15879" max="16128" width="9" style="2" customWidth="1"/>
    <col min="16129" max="16129" width="28.1640625" style="2" customWidth="1"/>
    <col min="16130" max="16130" width="10" style="2" customWidth="1"/>
    <col min="16131" max="16131" width="14.33203125" style="2" customWidth="1"/>
    <col min="16132" max="16132" width="8" style="2" customWidth="1"/>
    <col min="16133" max="16133" width="38" style="2" customWidth="1"/>
    <col min="16134" max="16134" width="48.1640625" style="2" customWidth="1"/>
    <col min="16135" max="16384" width="9" style="2" customWidth="1"/>
  </cols>
  <sheetData>
    <row r="2" ht="75.75" customHeight="1" spans="1:6" s="3" customFormat="1" x14ac:dyDescent="0.25">
      <c r="A2" s="4"/>
      <c r="B2" s="5" t="s">
        <v>0</v>
      </c>
      <c r="C2" s="5"/>
      <c r="D2" s="5"/>
      <c r="E2" s="5"/>
      <c r="F2" s="5"/>
    </row>
    <row r="3" spans="1:5" x14ac:dyDescent="0.25">
      <c r="A3" s="6"/>
      <c r="B3" s="7"/>
      <c r="E3" s="8"/>
    </row>
    <row r="4" ht="14.25" customHeight="1" spans="1:6" x14ac:dyDescent="0.25">
      <c r="A4" s="9" t="s">
        <v>1</v>
      </c>
      <c r="B4" s="10" t="s">
        <v>2</v>
      </c>
      <c r="C4" s="10"/>
      <c r="D4" s="10"/>
      <c r="E4" s="9" t="s">
        <v>3</v>
      </c>
      <c r="F4" s="11"/>
    </row>
    <row r="5" ht="14.25" customHeight="1" spans="1:6" x14ac:dyDescent="0.25">
      <c r="A5" s="9" t="s">
        <v>4</v>
      </c>
      <c r="B5" s="10" t="s">
        <v>5</v>
      </c>
      <c r="C5" s="10"/>
      <c r="D5" s="10"/>
      <c r="E5" s="9" t="s">
        <v>6</v>
      </c>
      <c r="F5" s="12" t="s">
        <v>7</v>
      </c>
    </row>
    <row r="6" ht="15.75" customHeight="1" spans="1:6" x14ac:dyDescent="0.25">
      <c r="A6" s="13" t="s">
        <v>8</v>
      </c>
      <c r="B6" s="14" t="str">
        <f>B5&amp;"_"&amp;"XXX"&amp;"_"&amp;"vx.x"</f>
        <v>&lt;Project Code&gt;_XXX_vx.x</v>
      </c>
      <c r="C6" s="15"/>
      <c r="D6" s="16"/>
      <c r="E6" s="9" t="s">
        <v>9</v>
      </c>
      <c r="F6" s="17"/>
    </row>
    <row r="7" spans="1:6" x14ac:dyDescent="0.25">
      <c r="A7" s="18"/>
      <c r="B7" s="19"/>
      <c r="E7" s="20"/>
      <c r="F7" s="7"/>
    </row>
    <row r="8" spans="1:1" x14ac:dyDescent="0.25">
      <c r="A8" s="2"/>
    </row>
    <row r="9" spans="1:1" x14ac:dyDescent="0.25">
      <c r="A9" s="21" t="s">
        <v>10</v>
      </c>
    </row>
    <row r="10" spans="1:6" s="22" customFormat="1" x14ac:dyDescent="0.25">
      <c r="A10" s="23" t="s">
        <v>11</v>
      </c>
      <c r="B10" s="24" t="s">
        <v>9</v>
      </c>
      <c r="C10" s="24" t="s">
        <v>12</v>
      </c>
      <c r="D10" s="24" t="s">
        <v>13</v>
      </c>
      <c r="E10" s="24" t="s">
        <v>14</v>
      </c>
      <c r="F10" s="25" t="s">
        <v>15</v>
      </c>
    </row>
    <row r="11" ht="26.25" customHeight="1" spans="1:6" s="26" customFormat="1" x14ac:dyDescent="0.25">
      <c r="A11" s="27" t="s">
        <v>16</v>
      </c>
      <c r="B11" s="28"/>
      <c r="C11" s="29"/>
      <c r="D11" s="29"/>
      <c r="E11" s="30"/>
      <c r="F11" s="31" t="s">
        <v>17</v>
      </c>
    </row>
    <row r="12" ht="21.75" customHeight="1" spans="1:6" s="26" customFormat="1" x14ac:dyDescent="0.25">
      <c r="A12" s="32"/>
      <c r="B12" s="28"/>
      <c r="C12" s="29"/>
      <c r="D12" s="29"/>
      <c r="E12" s="29"/>
      <c r="F12" s="33"/>
    </row>
    <row r="13" ht="19.5" customHeight="1" spans="1:6" s="26" customFormat="1" x14ac:dyDescent="0.25">
      <c r="A13" s="32"/>
      <c r="B13" s="28"/>
      <c r="C13" s="29"/>
      <c r="D13" s="29"/>
      <c r="E13" s="29"/>
      <c r="F13" s="33"/>
    </row>
    <row r="14" ht="21.75" customHeight="1" spans="1:6" s="26" customFormat="1" x14ac:dyDescent="0.25">
      <c r="A14" s="32"/>
      <c r="B14" s="28"/>
      <c r="C14" s="29"/>
      <c r="D14" s="29"/>
      <c r="E14" s="29"/>
      <c r="F14" s="33"/>
    </row>
    <row r="15" ht="19.5" customHeight="1" spans="1:6" s="26" customFormat="1" x14ac:dyDescent="0.25">
      <c r="A15" s="32"/>
      <c r="B15" s="28"/>
      <c r="C15" s="29"/>
      <c r="D15" s="29"/>
      <c r="E15" s="29"/>
      <c r="F15" s="33"/>
    </row>
    <row r="16" ht="21.75" customHeight="1" spans="1:6" s="26" customFormat="1" x14ac:dyDescent="0.25">
      <c r="A16" s="32"/>
      <c r="B16" s="28"/>
      <c r="C16" s="29"/>
      <c r="D16" s="29"/>
      <c r="E16" s="29"/>
      <c r="F16" s="33"/>
    </row>
    <row r="17" ht="19.5" customHeight="1" spans="1:6" s="26" customFormat="1" x14ac:dyDescent="0.25">
      <c r="A17" s="34"/>
      <c r="B17" s="35"/>
      <c r="C17" s="36"/>
      <c r="D17" s="36"/>
      <c r="E17" s="36"/>
      <c r="F17" s="37"/>
    </row>
  </sheetData>
  <mergeCells count="4">
    <mergeCell ref="B2:F2"/>
    <mergeCell ref="B4:D4"/>
    <mergeCell ref="B5:D5"/>
    <mergeCell ref="B6:D6"/>
  </mergeCells>
  <pageMargins left="0.4701388888888889" right="0.4701388888888889" top="0.5" bottom="0.35138888888888886" header="0.5118055555555556" footer="0.1701388888888889"/>
  <pageSetup paperSize="9" orientation="landscape" horizontalDpi="300" verticalDpi="300" scale="100" fitToWidth="1" fitToHeight="1" firstPageNumber="0" copies="1"/>
  <headerFooter>
    <oddFooter>&amp;L&amp;"Tahoma,Regular"&amp;8 02ae-BM/PM/HDCV/FSOFT v2/1&amp;C&amp;"Tahoma,Regular"&amp;8Internal use&amp;R&amp;"tahomaTahoma,Regular"&amp;8&amp;P/&amp;N</oddFooter>
  </headerFooter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Test Cases</vt:lpstr>
      <vt:lpstr>Test Statistics</vt:lpstr>
      <vt:lpstr>Backend API</vt:lpstr>
      <vt:lpstr>Mobile UI</vt:lpstr>
    </vt:vector>
  </TitlesOfParts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 Nguyen</dc:creator>
  <dc:title>Test case</dc:title>
  <dc:subject>v1/0</dc:subject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category>BM</cp:category>
  <cp:lastModifiedBy>KienNT</cp:lastModifiedBy>
  <cp:lastPrinted>2010-11-12T10:33:20Z</cp:lastPrinted>
  <dcterms:created xsi:type="dcterms:W3CDTF">2020-03-17T17:34:29Z</dcterms:created>
  <dcterms:modified xsi:type="dcterms:W3CDTF">2021-09-12T14:54:18Z</dcterms:modified>
</cp:coreProperties>
</file>